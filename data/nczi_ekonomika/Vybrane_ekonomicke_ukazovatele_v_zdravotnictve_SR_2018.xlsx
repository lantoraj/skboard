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ento_zošit"/>
  <bookViews>
    <workbookView xWindow="0" yWindow="0" windowWidth="28800" windowHeight="11535"/>
  </bookViews>
  <sheets>
    <sheet name="Obsah" sheetId="24" r:id="rId1"/>
    <sheet name="Meta" sheetId="18" r:id="rId2"/>
    <sheet name="T1" sheetId="19" r:id="rId3"/>
    <sheet name="T2" sheetId="2" r:id="rId4"/>
    <sheet name="T3" sheetId="3" r:id="rId5"/>
    <sheet name="G1" sheetId="20" r:id="rId6"/>
    <sheet name="G2" sheetId="21" r:id="rId7"/>
    <sheet name="G3" sheetId="22" r:id="rId8"/>
    <sheet name="G4" sheetId="23" r:id="rId9"/>
  </sheets>
  <definedNames>
    <definedName name="_xlnm.Print_Area" localSheetId="3">'T2'!$A$1:$F$38</definedName>
    <definedName name="_xlnm.Print_Area" localSheetId="4">'T3'!$A$1:$C$34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1" i="22" l="1"/>
  <c r="E120" i="22"/>
  <c r="E119" i="22"/>
  <c r="E118" i="22"/>
  <c r="E117" i="22"/>
  <c r="E116" i="22"/>
  <c r="E115" i="22"/>
  <c r="E114" i="22"/>
  <c r="E113" i="22"/>
  <c r="E112" i="22"/>
  <c r="J109" i="20"/>
  <c r="I109" i="20"/>
  <c r="H109" i="20"/>
  <c r="J108" i="20"/>
  <c r="I108" i="20"/>
  <c r="H108" i="20"/>
  <c r="J107" i="20"/>
  <c r="I107" i="20"/>
  <c r="H107" i="20"/>
  <c r="J106" i="20"/>
  <c r="I106" i="20"/>
  <c r="H106" i="20"/>
  <c r="J105" i="20"/>
  <c r="I105" i="20"/>
  <c r="H105" i="20"/>
  <c r="J104" i="20"/>
  <c r="I104" i="20"/>
  <c r="H104" i="20"/>
  <c r="J103" i="20"/>
  <c r="I103" i="20"/>
  <c r="H103" i="20"/>
  <c r="J102" i="20"/>
  <c r="I102" i="20"/>
  <c r="H102" i="20"/>
  <c r="J101" i="20"/>
  <c r="I101" i="20"/>
  <c r="H101" i="20"/>
  <c r="J100" i="20"/>
  <c r="I100" i="20"/>
  <c r="H100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</calcChain>
</file>

<file path=xl/sharedStrings.xml><?xml version="1.0" encoding="utf-8"?>
<sst xmlns="http://schemas.openxmlformats.org/spreadsheetml/2006/main" count="389" uniqueCount="186">
  <si>
    <t>MZ SR – nezisková organizácia</t>
  </si>
  <si>
    <t>MZ SR – akciová spoločnosť</t>
  </si>
  <si>
    <t>MZ SR – príspevková organizácia</t>
  </si>
  <si>
    <t xml:space="preserve">iný rezort – príspevková organizácia </t>
  </si>
  <si>
    <t>VÚC – nezisková organizácia</t>
  </si>
  <si>
    <t>VÚC – príspevková organizácia</t>
  </si>
  <si>
    <t>iný zriaďovateľ – živnostník, fyzická osoba</t>
  </si>
  <si>
    <t>iný zriaďovateľ – s. r. o.</t>
  </si>
  <si>
    <t>iný zriaďovateľ – nezisková organizácia</t>
  </si>
  <si>
    <t>iný zriaďovateľ – akciová spoločnosť</t>
  </si>
  <si>
    <t>iný zriaďovateľ – cirkevná organizácia</t>
  </si>
  <si>
    <t>Počet organizácií</t>
  </si>
  <si>
    <t>Náklady spolu (€)</t>
  </si>
  <si>
    <t>z toho na</t>
  </si>
  <si>
    <t>Výnosy spolu (€)</t>
  </si>
  <si>
    <t>mzdy</t>
  </si>
  <si>
    <t>odvody</t>
  </si>
  <si>
    <t>lieky</t>
  </si>
  <si>
    <t>zdravotnícke pomôcky</t>
  </si>
  <si>
    <t>odpisy</t>
  </si>
  <si>
    <t>spotrebu energie</t>
  </si>
  <si>
    <t xml:space="preserve">tržby od obyvateľstva </t>
  </si>
  <si>
    <t xml:space="preserve">z toho za lieky </t>
  </si>
  <si>
    <t>Slovenská republika</t>
  </si>
  <si>
    <t>všeobecné a špecializované nemocnice</t>
  </si>
  <si>
    <t>fakultné nemocnice</t>
  </si>
  <si>
    <t>liečebne</t>
  </si>
  <si>
    <t>Hospodársky výsledok (€)</t>
  </si>
  <si>
    <t>krv a krvné výrobky</t>
  </si>
  <si>
    <t>Ukazovateľ</t>
  </si>
  <si>
    <t>Spolu</t>
  </si>
  <si>
    <t>opravy a údržbu</t>
  </si>
  <si>
    <t>stravovanie pacientov</t>
  </si>
  <si>
    <t>ostatné výnosy</t>
  </si>
  <si>
    <t xml:space="preserve">tržby od zdravotných poisťovní </t>
  </si>
  <si>
    <t>prevádzkové dotácie od zriaďovateľa</t>
  </si>
  <si>
    <t>z toho zriaďovateľ a právna forma</t>
  </si>
  <si>
    <t>VÚC – akciová spoločnosť</t>
  </si>
  <si>
    <t>ostatnú hospodársko-technickú správu</t>
  </si>
  <si>
    <t>z toho za</t>
  </si>
  <si>
    <t>ukončené hospitalizácie</t>
  </si>
  <si>
    <t xml:space="preserve">ošetrovacie dni </t>
  </si>
  <si>
    <t>pripočítateľné položky</t>
  </si>
  <si>
    <t xml:space="preserve">body </t>
  </si>
  <si>
    <t>za lieky</t>
  </si>
  <si>
    <t>za zdravotnícke pomôcky</t>
  </si>
  <si>
    <t>za doplnkový sortiment lekární</t>
  </si>
  <si>
    <t>iné</t>
  </si>
  <si>
    <r>
      <t xml:space="preserve">ostatní ústavní PZS </t>
    </r>
    <r>
      <rPr>
        <vertAlign val="superscript"/>
        <sz val="9"/>
        <color theme="1"/>
        <rFont val="Arial"/>
        <family val="2"/>
        <charset val="238"/>
      </rPr>
      <t>2)</t>
    </r>
    <r>
      <rPr>
        <i/>
        <sz val="9"/>
        <color theme="1"/>
        <rFont val="Arial"/>
        <family val="2"/>
        <charset val="238"/>
      </rPr>
      <t/>
    </r>
  </si>
  <si>
    <t>Skupina poskytovateľa ústavnej zdravotnej starostlivosti</t>
  </si>
  <si>
    <t xml:space="preserve">z toho na </t>
  </si>
  <si>
    <t>doplnkový sortiment lekární</t>
  </si>
  <si>
    <t>pobyt v stacionári</t>
  </si>
  <si>
    <t>kapitáciu/paušál</t>
  </si>
  <si>
    <t>ambulantná zdravotná starostlivosť</t>
  </si>
  <si>
    <t>lekárenská starostlivosť</t>
  </si>
  <si>
    <t>Skupina poskytovateľa zdravotnej starostlivosti</t>
  </si>
  <si>
    <t xml:space="preserve">iný rezort – verejnoprávna inštitúcia </t>
  </si>
  <si>
    <t>–</t>
  </si>
  <si>
    <t>iný zriaďovateľ – komanditná spoločnosť</t>
  </si>
  <si>
    <t>iný zriaďovateľ – združenie (zväz, spolok)</t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</si>
  <si>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vykazovali vybraní poskytovatelia ústavnej zdravotnej starostlivosti zaradení do systému financovania prostredníctvom Diagnoses Related Groups (DRG) v zmysle metodických usmernení ÚDZS počas prechodného obdobia implementácie systému SK-DRG</t>
    </r>
  </si>
  <si>
    <t>Súčet z NAKLADY_SPOLU</t>
  </si>
  <si>
    <t>Súčet z NAKLADY_MZDY</t>
  </si>
  <si>
    <t>Súčet z NAKLADY_ODVODY_FOND</t>
  </si>
  <si>
    <t>Súčet z NAKLADY_LIEKY</t>
  </si>
  <si>
    <t>Súčet z NAKLADY_ZDRAV_POM</t>
  </si>
  <si>
    <t>Súčet z NAKLADY_KRV</t>
  </si>
  <si>
    <t>Súčet z NAKLADY_ODPISY_ZDRT</t>
  </si>
  <si>
    <t>Súčet z NAKLADY_ODPISY_OST</t>
  </si>
  <si>
    <t>Súčet z NAKLADY_STRAV_PAC</t>
  </si>
  <si>
    <t>Súčet z NAKLADY_ENERGIA</t>
  </si>
  <si>
    <t>Súčet z NAKLADY_UDRZB_ZDRT</t>
  </si>
  <si>
    <t>Súčet z NAKLADY_UDRZB_OST</t>
  </si>
  <si>
    <t>Súčet z NAKLADY_HTS_OST</t>
  </si>
  <si>
    <r>
      <t xml:space="preserve">ukončené hospitalizačné prípady v zmysle DRG 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</si>
  <si>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rFont val="Arial"/>
        <family val="2"/>
        <charset val="238"/>
      </rPr>
      <t xml:space="preserve">2) </t>
    </r>
    <r>
      <rPr>
        <sz val="9"/>
        <rFont val="Arial"/>
        <family val="2"/>
        <charset val="238"/>
      </rPr>
      <t>kúpele, ozdravovne, hospice, domy ošetrovateľskej starostlivosti</t>
    </r>
  </si>
  <si>
    <t>Súčet z NAKLADY_DOPL_SOR</t>
  </si>
  <si>
    <r>
      <t>ostatní ústavní PZS</t>
    </r>
    <r>
      <rPr>
        <vertAlign val="superscript"/>
        <sz val="9"/>
        <color theme="1"/>
        <rFont val="Arial"/>
        <family val="2"/>
        <charset val="238"/>
      </rPr>
      <t xml:space="preserve"> 1)
</t>
    </r>
    <r>
      <rPr>
        <sz val="9"/>
        <color theme="1"/>
        <rFont val="Arial"/>
        <family val="2"/>
        <charset val="238"/>
      </rPr>
      <t>other institutional</t>
    </r>
    <r>
      <rPr>
        <vertAlign val="superscript"/>
        <sz val="9"/>
        <color theme="1"/>
        <rFont val="Arial"/>
        <family val="2"/>
        <charset val="238"/>
      </rPr>
      <t xml:space="preserve"> 1)</t>
    </r>
    <r>
      <rPr>
        <sz val="9"/>
        <color theme="1"/>
        <rFont val="Arial"/>
        <family val="2"/>
        <charset val="238"/>
      </rPr>
      <t xml:space="preserve">
healh service</t>
    </r>
  </si>
  <si>
    <t xml:space="preserve">liečebne
sanatoriums </t>
  </si>
  <si>
    <t>fakultné nemocnice
university hospitals</t>
  </si>
  <si>
    <t>Súčet z NAKLADY_DOPR_ZDRAV</t>
  </si>
  <si>
    <t>Súčet z NAKLADY_DOPR_HOSP</t>
  </si>
  <si>
    <t>Súčet z NAKLADY_OST</t>
  </si>
  <si>
    <t>Náklady</t>
  </si>
  <si>
    <t xml:space="preserve">mzdy a odvody </t>
  </si>
  <si>
    <t xml:space="preserve">lieky </t>
  </si>
  <si>
    <t>tržby od zdravotných poisťovní</t>
  </si>
  <si>
    <t>doplnkový sortiment lekárni</t>
  </si>
  <si>
    <t>tržby od obyvateľstva</t>
  </si>
  <si>
    <t xml:space="preserve">prevádzkové dotácie </t>
  </si>
  <si>
    <t xml:space="preserve">odpisy </t>
  </si>
  <si>
    <t xml:space="preserve">ostatné výnosy </t>
  </si>
  <si>
    <t xml:space="preserve">stravovanie pacientov </t>
  </si>
  <si>
    <t xml:space="preserve">oprava a údržba </t>
  </si>
  <si>
    <t xml:space="preserve">ostatné náklady </t>
  </si>
  <si>
    <r>
      <t xml:space="preserve">mzdy a odvody
</t>
    </r>
    <r>
      <rPr>
        <i/>
        <sz val="9"/>
        <color indexed="8"/>
        <rFont val="Arial"/>
        <family val="2"/>
        <charset val="238"/>
      </rPr>
      <t>wages and tax payments</t>
    </r>
  </si>
  <si>
    <t>lieky
drugs</t>
  </si>
  <si>
    <t xml:space="preserve">zdravotnícke pomôcky
medical aids </t>
  </si>
  <si>
    <t>doplnkový sortiment lekárni
complementary range of pharmacies</t>
  </si>
  <si>
    <t>krv a krvné výrobky
blood and blood products</t>
  </si>
  <si>
    <t>odpisy
depreciations</t>
  </si>
  <si>
    <t>stravovanie pacientov
nutrition of patients</t>
  </si>
  <si>
    <t>oprava a údržba
repairs and maintenance</t>
  </si>
  <si>
    <t xml:space="preserve">ostatné náklady
other costs </t>
  </si>
  <si>
    <r>
      <rPr>
        <vertAlign val="superscript"/>
        <sz val="9"/>
        <color theme="1"/>
        <rFont val="Arial"/>
        <family val="2"/>
        <charset val="238"/>
      </rPr>
      <t xml:space="preserve">1) </t>
    </r>
    <r>
      <rPr>
        <sz val="9"/>
        <color theme="1"/>
        <rFont val="Arial"/>
        <family val="2"/>
        <charset val="238"/>
      </rPr>
      <t>kúpele, ozdravovne, hospice, domy ošetrovateľskej starostlivosti</t>
    </r>
  </si>
  <si>
    <t xml:space="preserve">všeobecné a špecializované
nemocnice
general and
specialised hospitals </t>
  </si>
  <si>
    <t>mzdy a odvody</t>
  </si>
  <si>
    <t>oprava a údržba</t>
  </si>
  <si>
    <t>ostatné náklady</t>
  </si>
  <si>
    <t>lekárenská
starostlivosť</t>
  </si>
  <si>
    <t>prevádzkové dotácie</t>
  </si>
  <si>
    <t>ambulantná
zdravotná
starostlivosť</t>
  </si>
  <si>
    <t>ústavná
zdravotná
starostlivosť</t>
  </si>
  <si>
    <t xml:space="preserve">všeobecné
a špecializované
nemocnice </t>
  </si>
  <si>
    <t>fakultné
nemocnice</t>
  </si>
  <si>
    <r>
      <t>ostatní
ústavní PZS</t>
    </r>
    <r>
      <rPr>
        <vertAlign val="superscript"/>
        <sz val="9"/>
        <color theme="1"/>
        <rFont val="Arial"/>
        <family val="2"/>
        <charset val="238"/>
      </rPr>
      <t xml:space="preserve"> 1)</t>
    </r>
  </si>
  <si>
    <t>výkony vrátane jednodňovej zdravotnej starostlivosti</t>
  </si>
  <si>
    <t>Forma poskytovanej zdravotnej starostlivosti</t>
  </si>
  <si>
    <t>Podiel v %</t>
  </si>
  <si>
    <t xml:space="preserve">T 1 Náklady, výnosy a hospodársky výsledok v organizáciách v zdravotníctve podľa zriaďovateľa a právnej formy </t>
  </si>
  <si>
    <t>T 2 Náklady, výnosy a hospodársky výsledok v zariadeniach ústavnej zdravotnej starostlivosti</t>
  </si>
  <si>
    <t>T 3 Náklady, výnosy a hospodársky výsledok v zariadeniach ambulantnej a lekárenskej zdravotnej starostlivosti</t>
  </si>
  <si>
    <t>G 1 Štruktúra nákladov podľa formy poskytovanej zdravotnej starostlivosti</t>
  </si>
  <si>
    <t>G 2 Štruktúra výnosov podľa formy poskytovanej zdravotnej starostlivosti</t>
  </si>
  <si>
    <t>G 3 Štruktúra nákladov v zariadeniach ústavnej zdravotnej starostlivosti</t>
  </si>
  <si>
    <t>G 4 Štruktúra výnosov v zariadeniach ústavnej zdravotnej starostlivosti</t>
  </si>
  <si>
    <t>Metodické poznámky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</si>
  <si>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</si>
  <si>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</si>
  <si>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</si>
  <si>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</si>
  <si>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</si>
  <si>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</si>
  <si>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</si>
  <si>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</si>
  <si>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</si>
  <si>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</si>
  <si>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</si>
  <si>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</si>
  <si>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</si>
  <si>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</si>
  <si>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</si>
  <si>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</si>
  <si>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</si>
  <si>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</si>
  <si>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</si>
  <si>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</si>
  <si>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</si>
  <si>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</si>
  <si>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</si>
  <si>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</si>
  <si>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Dátum publikovania: január 2020</t>
  </si>
  <si>
    <t>PZS</t>
  </si>
  <si>
    <t>Údaje o finančnom hospodárení organizácií pôsobiacich v zdravotníctve sú získavané na báze zisťovania ekonomiky nákladových stredísk – odborných útvarov.</t>
  </si>
  <si>
    <t>Zaradenie poskytovateľa zdravotnej starostlivosti do skupiny poskytovateľov v tabuľke T 2 a T 3 je na základe prevažujúcej činnosti daného PZS.</t>
  </si>
  <si>
    <t>Zoznam druhov právnej formy u jednotlivých zriaďovateľov v tabuľke T 1 nie je vyčerpávajúci. Uvedené sú len triedenia, v ktorých počet spravodajských jednotiek bol rovný alebo väčší ako 3 z dôvodu ochrany dôverných štatistických údajov spravodajských jednotiek.</t>
  </si>
  <si>
    <t>Zdrojové údaje ku G1:</t>
  </si>
  <si>
    <t>Výnosy</t>
  </si>
  <si>
    <t>Zdrojové údaje ku G2:</t>
  </si>
  <si>
    <t>Zdrojové údaje ku G3:</t>
  </si>
  <si>
    <t>Zdrojové údaje ku G4:</t>
  </si>
  <si>
    <t>Názov</t>
  </si>
  <si>
    <t>Hárok</t>
  </si>
  <si>
    <t>tabuľka</t>
  </si>
  <si>
    <t>Meta</t>
  </si>
  <si>
    <t>T1</t>
  </si>
  <si>
    <t>graf</t>
  </si>
  <si>
    <t>T2</t>
  </si>
  <si>
    <t>T3</t>
  </si>
  <si>
    <t>G1</t>
  </si>
  <si>
    <t>G2</t>
  </si>
  <si>
    <t>G3</t>
  </si>
  <si>
    <t>G4</t>
  </si>
  <si>
    <t>Skratky</t>
  </si>
  <si>
    <t>poskytovateľ zdravotnej starostlivosti</t>
  </si>
  <si>
    <t>Ministerstvo zdravotníctva Slovenskej republiky</t>
  </si>
  <si>
    <t>MZ SR</t>
  </si>
  <si>
    <t>VÚC</t>
  </si>
  <si>
    <t>vyšší územný celok</t>
  </si>
  <si>
    <t>s. r. o.</t>
  </si>
  <si>
    <t>spoločnosť s ručením obmedzeným</t>
  </si>
  <si>
    <t>Zdrojom údajov za rok 2018 sú štatistické zisťovania Ministerstva zdravotníctva SR:</t>
  </si>
  <si>
    <t>Vybrané ekonomické ukazovatele v zdravotníctve v Slovenskej republike 2018</t>
  </si>
  <si>
    <t>Ročný výkaz o ekonomike organizácií v zdravotníctve E (MZ SR) 2-01
Štvrťročný výkaz o ekonomike organizácií v zdravotníctve E (MZ SR) 1-04
Mesačný výkaz o ekonomike vybraných organizácií v zdravotníctve E (MZ SR) 3-12</t>
  </si>
  <si>
    <t>Spravodajskými jednotkami sú organizácie pôsobiace v zdravotníctve na území SR:
- všetky príspevkové a neziskové organizácie a štátne akciové spoločnosti - poskytovatelia zdravotnej starostlivosti a poskytovatelia služieb súvisiacich s poskytovaním zdravotnej starostlivosti a ďalšie organizácie v zdravotníctve,
- neštátni poskytovatelia zdravotnej starostlivosti a poskytovatelia služieb súvisiacich s poskytovaním zdravotnej starostlivosti (mimo zubných technikov).
Výkaz predkladajú právnické, resp. fyzické osoby sumárne za všetky zdravotnícke zariadenia, ktoré prevádzkujú. Návratnosť výkazov od spravodajských jednotiek bola 77,5 %.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</si>
</sst>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"/>
    <numFmt numFmtId="165" formatCode="0.000"/>
    <numFmt numFmtId="166" formatCode="0.0"/>
    <numFmt numFmtId="167" formatCode="0.000000"/>
    <numFmt numFmtId="168" formatCode="0.0%"/>
  </numFmts>
  <fonts count="33" x14ac:knownFonts="1">
    <font>
      <sz val="11"/>
      <color theme="1"/>
      <name val="Arial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name val="Arial"/>
      <family val="2"/>
      <charset val="238"/>
    </font>
    <font>
      <i/>
      <sz val="9"/>
      <name val="Arial"/>
      <family val="2"/>
      <charset val="238"/>
    </font>
    <font>
      <b/>
      <sz val="10"/>
      <name val="Arial"/>
      <family val="2"/>
      <charset val="238"/>
    </font>
    <font>
      <vertAlign val="superscript"/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theme="1"/>
      <name val="Arial"/>
      <family val="2"/>
      <scheme val="minor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vertAlign val="superscript"/>
      <sz val="9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i/>
      <sz val="9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i/>
      <sz val="11"/>
      <color theme="1"/>
      <name val="Arial"/>
      <family val="2"/>
      <charset val="238"/>
      <scheme val="minor"/>
    </font>
    <font>
      <b/>
      <sz val="9"/>
      <name val="Arial"/>
      <family val="2"/>
      <charset val="238"/>
    </font>
    <font>
      <sz val="11"/>
      <color rgb="FF000000"/>
      <name val="Calibri"/>
      <family val="2"/>
    </font>
    <font>
      <u/>
      <sz val="9"/>
      <color rgb="FF0000FF"/>
      <name val="Arial"/>
      <family val="2"/>
      <charset val="238"/>
    </font>
    <font>
      <u/>
      <sz val="11"/>
      <color theme="1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u/>
      <sz val="9"/>
      <color rgb="FF0070C0"/>
      <name val="Arial"/>
      <family val="2"/>
      <charset val="238"/>
    </font>
    <font>
      <sz val="9"/>
      <name val="Arial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3" fillId="0" borderId="0"/>
    <xf numFmtId="0" fontId="22" fillId="0" borderId="0" applyNumberFormat="0" applyBorder="0" applyAlignment="0"/>
    <xf numFmtId="0" fontId="10" fillId="0" borderId="0"/>
    <xf numFmtId="0" fontId="3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1" fillId="0" borderId="0"/>
    <xf numFmtId="0" fontId="27" fillId="0" borderId="0" applyNumberFormat="0" applyBorder="0" applyProtection="0"/>
  </cellStyleXfs>
  <cellXfs count="164">
    <xf numFmtId="0" fontId="0" fillId="0" borderId="0" xfId="0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/>
    <xf numFmtId="3" fontId="7" fillId="0" borderId="0" xfId="1" applyNumberFormat="1" applyFont="1" applyFill="1" applyBorder="1" applyAlignment="1">
      <alignment horizontal="left"/>
    </xf>
    <xf numFmtId="3" fontId="4" fillId="0" borderId="0" xfId="0" applyNumberFormat="1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6" fillId="0" borderId="0" xfId="0" applyNumberFormat="1" applyFont="1"/>
    <xf numFmtId="0" fontId="6" fillId="0" borderId="0" xfId="0" applyFont="1" applyFill="1"/>
    <xf numFmtId="164" fontId="4" fillId="0" borderId="0" xfId="0" applyNumberFormat="1" applyFont="1"/>
    <xf numFmtId="0" fontId="4" fillId="0" borderId="0" xfId="5" applyFont="1" applyBorder="1"/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164" fontId="3" fillId="0" borderId="0" xfId="0" applyNumberFormat="1" applyFont="1" applyFill="1"/>
    <xf numFmtId="164" fontId="4" fillId="0" borderId="0" xfId="0" applyNumberFormat="1" applyFont="1" applyFill="1"/>
    <xf numFmtId="0" fontId="15" fillId="0" borderId="0" xfId="2" applyFont="1" applyFill="1" applyBorder="1" applyAlignment="1">
      <alignment horizontal="left" vertical="center"/>
    </xf>
    <xf numFmtId="0" fontId="16" fillId="0" borderId="0" xfId="2" applyFont="1" applyFill="1" applyBorder="1" applyAlignment="1">
      <alignment horizontal="left" vertical="center" wrapText="1"/>
    </xf>
    <xf numFmtId="0" fontId="4" fillId="0" borderId="0" xfId="0" applyFont="1" applyBorder="1" applyAlignment="1"/>
    <xf numFmtId="0" fontId="4" fillId="0" borderId="0" xfId="0" applyFont="1" applyFill="1" applyBorder="1" applyAlignment="1"/>
    <xf numFmtId="165" fontId="4" fillId="0" borderId="0" xfId="0" applyNumberFormat="1" applyFont="1"/>
    <xf numFmtId="165" fontId="4" fillId="0" borderId="0" xfId="0" applyNumberFormat="1" applyFont="1" applyFill="1"/>
    <xf numFmtId="0" fontId="16" fillId="0" borderId="0" xfId="2" applyFont="1" applyFill="1" applyBorder="1" applyAlignment="1">
      <alignment horizontal="left" vertical="top"/>
    </xf>
    <xf numFmtId="165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5" fillId="0" borderId="0" xfId="0" applyFont="1"/>
    <xf numFmtId="0" fontId="20" fillId="0" borderId="0" xfId="0" applyFont="1" applyFill="1" applyBorder="1"/>
    <xf numFmtId="0" fontId="0" fillId="0" borderId="0" xfId="0" applyFill="1" applyBorder="1"/>
    <xf numFmtId="166" fontId="4" fillId="0" borderId="0" xfId="0" applyNumberFormat="1" applyFont="1"/>
    <xf numFmtId="166" fontId="4" fillId="0" borderId="0" xfId="0" applyNumberFormat="1" applyFont="1" applyFill="1"/>
    <xf numFmtId="2" fontId="4" fillId="0" borderId="0" xfId="0" applyNumberFormat="1" applyFont="1"/>
    <xf numFmtId="167" fontId="4" fillId="0" borderId="0" xfId="0" applyNumberFormat="1" applyFont="1"/>
    <xf numFmtId="0" fontId="4" fillId="2" borderId="0" xfId="0" applyFont="1" applyFill="1"/>
    <xf numFmtId="1" fontId="3" fillId="0" borderId="0" xfId="0" applyNumberFormat="1" applyFont="1" applyFill="1"/>
    <xf numFmtId="0" fontId="4" fillId="0" borderId="0" xfId="0" applyFont="1" applyBorder="1"/>
    <xf numFmtId="164" fontId="4" fillId="0" borderId="0" xfId="0" applyNumberFormat="1" applyFont="1" applyFill="1" applyBorder="1"/>
    <xf numFmtId="0" fontId="2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3" fillId="0" borderId="0" xfId="8" applyFont="1"/>
    <xf numFmtId="0" fontId="25" fillId="0" borderId="0" xfId="9" applyFont="1"/>
    <xf numFmtId="0" fontId="6" fillId="4" borderId="0" xfId="7" applyFont="1" applyFill="1"/>
    <xf numFmtId="0" fontId="6" fillId="4" borderId="0" xfId="7" applyFont="1" applyFill="1" applyAlignment="1">
      <alignment vertical="top"/>
    </xf>
    <xf numFmtId="0" fontId="3" fillId="3" borderId="0" xfId="7" applyFont="1" applyFill="1" applyBorder="1" applyAlignment="1"/>
    <xf numFmtId="0" fontId="4" fillId="3" borderId="0" xfId="7" applyFont="1" applyFill="1" applyBorder="1"/>
    <xf numFmtId="0" fontId="4" fillId="3" borderId="0" xfId="7" applyFont="1" applyFill="1" applyBorder="1" applyAlignment="1">
      <alignment vertical="center"/>
    </xf>
    <xf numFmtId="0" fontId="4" fillId="3" borderId="0" xfId="7" applyFont="1" applyFill="1" applyBorder="1" applyAlignment="1">
      <alignment horizontal="left" vertical="center"/>
    </xf>
    <xf numFmtId="0" fontId="6" fillId="0" borderId="0" xfId="7" applyFont="1"/>
    <xf numFmtId="0" fontId="6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1" fillId="5" borderId="0" xfId="7" applyFont="1" applyFill="1" applyAlignment="1">
      <alignment horizontal="left" vertical="center" wrapText="1"/>
    </xf>
    <xf numFmtId="0" fontId="6" fillId="5" borderId="0" xfId="7" applyFont="1" applyFill="1" applyAlignment="1">
      <alignment horizontal="left" vertical="center" wrapText="1"/>
    </xf>
    <xf numFmtId="0" fontId="12" fillId="4" borderId="0" xfId="7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 applyFill="1" applyAlignment="1">
      <alignment horizontal="centerContinuous"/>
    </xf>
    <xf numFmtId="0" fontId="4" fillId="0" borderId="0" xfId="0" applyFont="1" applyAlignment="1">
      <alignment horizontal="centerContinuous"/>
    </xf>
    <xf numFmtId="0" fontId="15" fillId="0" borderId="2" xfId="2" applyFont="1" applyFill="1" applyBorder="1" applyAlignment="1">
      <alignment horizontal="left" vertical="center"/>
    </xf>
    <xf numFmtId="0" fontId="16" fillId="0" borderId="1" xfId="2" applyFont="1" applyFill="1" applyBorder="1" applyAlignment="1">
      <alignment horizontal="left" vertical="top"/>
    </xf>
    <xf numFmtId="165" fontId="4" fillId="0" borderId="1" xfId="0" applyNumberFormat="1" applyFont="1" applyBorder="1"/>
    <xf numFmtId="165" fontId="4" fillId="0" borderId="1" xfId="0" applyNumberFormat="1" applyFont="1" applyFill="1" applyBorder="1"/>
    <xf numFmtId="0" fontId="4" fillId="0" borderId="6" xfId="0" applyFont="1" applyBorder="1" applyAlignment="1"/>
    <xf numFmtId="165" fontId="4" fillId="0" borderId="6" xfId="0" applyNumberFormat="1" applyFont="1" applyBorder="1"/>
    <xf numFmtId="165" fontId="4" fillId="0" borderId="6" xfId="0" applyNumberFormat="1" applyFont="1" applyFill="1" applyBorder="1"/>
    <xf numFmtId="0" fontId="4" fillId="0" borderId="6" xfId="0" applyFont="1" applyFill="1" applyBorder="1" applyAlignment="1"/>
    <xf numFmtId="0" fontId="4" fillId="0" borderId="7" xfId="0" applyFont="1" applyFill="1" applyBorder="1" applyAlignment="1"/>
    <xf numFmtId="165" fontId="4" fillId="0" borderId="7" xfId="0" applyNumberFormat="1" applyFont="1" applyBorder="1"/>
    <xf numFmtId="165" fontId="4" fillId="0" borderId="7" xfId="0" applyNumberFormat="1" applyFont="1" applyFill="1" applyBorder="1"/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6" fillId="0" borderId="2" xfId="2" applyFont="1" applyFill="1" applyBorder="1" applyAlignment="1">
      <alignment horizontal="center" vertical="center"/>
    </xf>
    <xf numFmtId="0" fontId="29" fillId="0" borderId="0" xfId="0" applyFont="1" applyFill="1" applyAlignment="1">
      <alignment horizontal="left" vertical="center"/>
    </xf>
    <xf numFmtId="0" fontId="29" fillId="0" borderId="8" xfId="0" applyFont="1" applyFill="1" applyBorder="1" applyAlignment="1">
      <alignment horizontal="left" vertical="center"/>
    </xf>
    <xf numFmtId="0" fontId="30" fillId="0" borderId="8" xfId="0" applyFont="1" applyFill="1" applyBorder="1" applyAlignment="1">
      <alignment horizontal="left"/>
    </xf>
    <xf numFmtId="0" fontId="29" fillId="0" borderId="8" xfId="0" applyFont="1" applyFill="1" applyBorder="1" applyAlignment="1">
      <alignment horizontal="left"/>
    </xf>
    <xf numFmtId="0" fontId="29" fillId="0" borderId="8" xfId="0" applyFont="1" applyFill="1" applyBorder="1"/>
    <xf numFmtId="0" fontId="30" fillId="0" borderId="0" xfId="11" applyFont="1" applyFill="1" applyAlignment="1" applyProtection="1">
      <alignment vertical="center"/>
    </xf>
    <xf numFmtId="0" fontId="31" fillId="0" borderId="0" xfId="8"/>
    <xf numFmtId="0" fontId="31" fillId="0" borderId="0" xfId="8" applyFill="1"/>
    <xf numFmtId="0" fontId="8" fillId="0" borderId="0" xfId="7" applyFont="1" applyFill="1" applyAlignment="1">
      <alignment vertical="center" wrapText="1"/>
    </xf>
    <xf numFmtId="0" fontId="8" fillId="0" borderId="0" xfId="7" applyFont="1" applyFill="1" applyAlignment="1">
      <alignment vertical="center"/>
    </xf>
    <xf numFmtId="0" fontId="23" fillId="0" borderId="0" xfId="8" applyFont="1" applyFill="1"/>
    <xf numFmtId="0" fontId="25" fillId="0" borderId="0" xfId="9" applyFont="1" applyFill="1"/>
    <xf numFmtId="0" fontId="6" fillId="0" borderId="0" xfId="7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6" fillId="5" borderId="0" xfId="7" applyFont="1" applyFill="1" applyAlignment="1">
      <alignment vertical="center" wrapText="1"/>
    </xf>
    <xf numFmtId="0" fontId="6" fillId="5" borderId="0" xfId="7" applyFont="1" applyFill="1" applyAlignment="1">
      <alignment vertical="center"/>
    </xf>
    <xf numFmtId="0" fontId="6" fillId="5" borderId="0" xfId="7" applyFont="1" applyFill="1" applyAlignment="1">
      <alignment horizontal="left" vertical="center"/>
    </xf>
    <xf numFmtId="0" fontId="28" fillId="0" borderId="0" xfId="11" applyFont="1" applyFill="1" applyAlignment="1" applyProtection="1">
      <alignment vertical="center"/>
    </xf>
    <xf numFmtId="0" fontId="32" fillId="0" borderId="0" xfId="7" applyFont="1"/>
    <xf numFmtId="0" fontId="6" fillId="0" borderId="0" xfId="0" applyFont="1" applyFill="1" applyBorder="1" applyAlignment="1">
      <alignment horizontal="left"/>
    </xf>
    <xf numFmtId="0" fontId="3" fillId="0" borderId="9" xfId="0" applyFont="1" applyFill="1" applyBorder="1" applyAlignment="1">
      <alignment wrapText="1"/>
    </xf>
    <xf numFmtId="3" fontId="3" fillId="0" borderId="9" xfId="0" applyNumberFormat="1" applyFont="1" applyFill="1" applyBorder="1"/>
    <xf numFmtId="0" fontId="3" fillId="0" borderId="10" xfId="0" applyFont="1" applyFill="1" applyBorder="1"/>
    <xf numFmtId="164" fontId="3" fillId="0" borderId="10" xfId="0" applyNumberFormat="1" applyFont="1" applyFill="1" applyBorder="1"/>
    <xf numFmtId="3" fontId="3" fillId="0" borderId="10" xfId="0" applyNumberFormat="1" applyFont="1" applyFill="1" applyBorder="1"/>
    <xf numFmtId="0" fontId="4" fillId="0" borderId="10" xfId="0" applyFont="1" applyFill="1" applyBorder="1"/>
    <xf numFmtId="164" fontId="4" fillId="0" borderId="10" xfId="0" applyNumberFormat="1" applyFont="1" applyFill="1" applyBorder="1"/>
    <xf numFmtId="0" fontId="4" fillId="0" borderId="10" xfId="0" applyFont="1" applyFill="1" applyBorder="1" applyAlignment="1">
      <alignment horizontal="left" indent="1"/>
    </xf>
    <xf numFmtId="164" fontId="4" fillId="0" borderId="10" xfId="0" applyNumberFormat="1" applyFont="1" applyFill="1" applyBorder="1" applyAlignment="1">
      <alignment horizontal="right"/>
    </xf>
    <xf numFmtId="0" fontId="4" fillId="0" borderId="10" xfId="0" applyFont="1" applyFill="1" applyBorder="1" applyAlignment="1">
      <alignment horizontal="left" indent="2"/>
    </xf>
    <xf numFmtId="0" fontId="6" fillId="0" borderId="10" xfId="0" applyFont="1" applyFill="1" applyBorder="1" applyAlignment="1">
      <alignment horizontal="left" indent="1"/>
    </xf>
    <xf numFmtId="164" fontId="6" fillId="0" borderId="10" xfId="0" applyNumberFormat="1" applyFont="1" applyFill="1" applyBorder="1"/>
    <xf numFmtId="164" fontId="6" fillId="0" borderId="10" xfId="0" applyNumberFormat="1" applyFont="1" applyFill="1" applyBorder="1" applyAlignment="1">
      <alignment horizontal="right"/>
    </xf>
    <xf numFmtId="0" fontId="3" fillId="0" borderId="11" xfId="0" applyFont="1" applyFill="1" applyBorder="1"/>
    <xf numFmtId="164" fontId="3" fillId="0" borderId="11" xfId="0" applyNumberFormat="1" applyFont="1" applyFill="1" applyBorder="1"/>
    <xf numFmtId="0" fontId="3" fillId="0" borderId="9" xfId="0" applyFont="1" applyFill="1" applyBorder="1"/>
    <xf numFmtId="0" fontId="15" fillId="0" borderId="9" xfId="2" applyFont="1" applyFill="1" applyBorder="1" applyAlignment="1">
      <alignment horizontal="left" vertical="center"/>
    </xf>
    <xf numFmtId="164" fontId="3" fillId="0" borderId="9" xfId="0" applyNumberFormat="1" applyFont="1" applyFill="1" applyBorder="1"/>
    <xf numFmtId="164" fontId="3" fillId="0" borderId="9" xfId="0" applyNumberFormat="1" applyFont="1" applyBorder="1"/>
    <xf numFmtId="0" fontId="16" fillId="0" borderId="10" xfId="2" applyFont="1" applyFill="1" applyBorder="1" applyAlignment="1">
      <alignment horizontal="left" vertical="center" wrapText="1" indent="1"/>
    </xf>
    <xf numFmtId="164" fontId="4" fillId="0" borderId="10" xfId="0" applyNumberFormat="1" applyFont="1" applyBorder="1"/>
    <xf numFmtId="0" fontId="4" fillId="0" borderId="10" xfId="0" applyFont="1" applyBorder="1" applyAlignment="1">
      <alignment horizontal="left" indent="1"/>
    </xf>
    <xf numFmtId="0" fontId="4" fillId="0" borderId="11" xfId="0" applyFont="1" applyFill="1" applyBorder="1" applyAlignment="1">
      <alignment horizontal="left" indent="1"/>
    </xf>
    <xf numFmtId="164" fontId="4" fillId="0" borderId="11" xfId="0" applyNumberFormat="1" applyFont="1" applyFill="1" applyBorder="1"/>
    <xf numFmtId="164" fontId="4" fillId="0" borderId="11" xfId="0" applyNumberFormat="1" applyFont="1" applyBorder="1"/>
    <xf numFmtId="0" fontId="16" fillId="0" borderId="9" xfId="2" applyFont="1" applyFill="1" applyBorder="1" applyAlignment="1">
      <alignment horizontal="left" vertical="top" indent="1"/>
    </xf>
    <xf numFmtId="168" fontId="4" fillId="0" borderId="9" xfId="0" applyNumberFormat="1" applyFont="1" applyFill="1" applyBorder="1"/>
    <xf numFmtId="168" fontId="4" fillId="0" borderId="9" xfId="0" applyNumberFormat="1" applyFont="1" applyBorder="1"/>
    <xf numFmtId="168" fontId="4" fillId="0" borderId="10" xfId="0" applyNumberFormat="1" applyFont="1" applyFill="1" applyBorder="1"/>
    <xf numFmtId="168" fontId="4" fillId="0" borderId="10" xfId="0" applyNumberFormat="1" applyFont="1" applyBorder="1"/>
    <xf numFmtId="168" fontId="4" fillId="0" borderId="11" xfId="0" applyNumberFormat="1" applyFont="1" applyFill="1" applyBorder="1"/>
    <xf numFmtId="168" fontId="4" fillId="0" borderId="11" xfId="0" applyNumberFormat="1" applyFont="1" applyBorder="1"/>
    <xf numFmtId="0" fontId="3" fillId="0" borderId="9" xfId="0" applyFont="1" applyBorder="1"/>
    <xf numFmtId="4" fontId="3" fillId="0" borderId="9" xfId="0" applyNumberFormat="1" applyFont="1" applyBorder="1"/>
    <xf numFmtId="4" fontId="4" fillId="0" borderId="10" xfId="0" applyNumberFormat="1" applyFont="1" applyFill="1" applyBorder="1"/>
    <xf numFmtId="0" fontId="4" fillId="0" borderId="11" xfId="0" applyFont="1" applyBorder="1" applyAlignment="1">
      <alignment horizontal="left" indent="1"/>
    </xf>
    <xf numFmtId="4" fontId="4" fillId="0" borderId="11" xfId="0" applyNumberFormat="1" applyFont="1" applyFill="1" applyBorder="1"/>
    <xf numFmtId="0" fontId="4" fillId="0" borderId="9" xfId="0" applyFont="1" applyBorder="1" applyAlignment="1">
      <alignment horizontal="left" indent="1"/>
    </xf>
    <xf numFmtId="0" fontId="15" fillId="0" borderId="12" xfId="2" applyFont="1" applyFill="1" applyBorder="1" applyAlignment="1">
      <alignment horizontal="left" vertical="center"/>
    </xf>
    <xf numFmtId="0" fontId="16" fillId="0" borderId="13" xfId="2" applyFont="1" applyFill="1" applyBorder="1" applyAlignment="1">
      <alignment horizontal="left" vertical="center" wrapText="1" indent="1"/>
    </xf>
    <xf numFmtId="0" fontId="4" fillId="0" borderId="13" xfId="0" applyFont="1" applyBorder="1" applyAlignment="1">
      <alignment horizontal="left" indent="1"/>
    </xf>
    <xf numFmtId="0" fontId="4" fillId="0" borderId="13" xfId="0" applyFont="1" applyFill="1" applyBorder="1" applyAlignment="1">
      <alignment horizontal="left" indent="1"/>
    </xf>
    <xf numFmtId="164" fontId="4" fillId="0" borderId="10" xfId="0" applyNumberFormat="1" applyFont="1" applyBorder="1" applyAlignment="1">
      <alignment horizontal="right"/>
    </xf>
    <xf numFmtId="0" fontId="4" fillId="0" borderId="14" xfId="0" applyFont="1" applyFill="1" applyBorder="1" applyAlignment="1">
      <alignment horizontal="left" indent="1"/>
    </xf>
    <xf numFmtId="0" fontId="16" fillId="0" borderId="12" xfId="2" applyFont="1" applyFill="1" applyBorder="1" applyAlignment="1">
      <alignment horizontal="left" vertical="top" indent="1"/>
    </xf>
    <xf numFmtId="0" fontId="6" fillId="3" borderId="0" xfId="7" applyFont="1" applyFill="1" applyAlignment="1">
      <alignment vertical="center" wrapText="1"/>
    </xf>
    <xf numFmtId="0" fontId="6" fillId="5" borderId="0" xfId="10" applyFont="1" applyFill="1" applyBorder="1" applyAlignment="1">
      <alignment horizontal="left" vertical="center" wrapText="1"/>
    </xf>
    <xf numFmtId="0" fontId="8" fillId="3" borderId="0" xfId="7" applyFont="1" applyFill="1" applyAlignment="1">
      <alignment vertical="center" wrapText="1"/>
    </xf>
    <xf numFmtId="0" fontId="8" fillId="3" borderId="0" xfId="7" applyFont="1" applyFill="1" applyAlignment="1">
      <alignment vertical="center"/>
    </xf>
    <xf numFmtId="0" fontId="21" fillId="5" borderId="0" xfId="7" applyFont="1" applyFill="1" applyAlignment="1">
      <alignment horizontal="left"/>
    </xf>
    <xf numFmtId="0" fontId="6" fillId="5" borderId="0" xfId="7" applyFont="1" applyFill="1" applyAlignment="1">
      <alignment horizontal="left" vertical="center" wrapText="1"/>
    </xf>
    <xf numFmtId="0" fontId="21" fillId="5" borderId="0" xfId="7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2">
    <cellStyle name="Hypertextové prepojenie" xfId="8"/>
    <cellStyle name="Hypertextové prepojenie 2" xfId="9"/>
    <cellStyle name="Normálna" xfId="0" builtinId="0"/>
    <cellStyle name="Normálna 2" xfId="7"/>
    <cellStyle name="Normálna 3" xfId="10"/>
    <cellStyle name="Normálna 3 2" xfId="5"/>
    <cellStyle name="Normálne 2" xfId="4"/>
    <cellStyle name="Normálne 2 4" xfId="6"/>
    <cellStyle name="Normálne 6" xfId="11"/>
    <cellStyle name="Normálne_E01E02-2013-T512 2" xfId="2"/>
    <cellStyle name="Normálne_Hárok3" xfId="1"/>
    <cellStyle name="normální_roc_03" xfId="3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1 Štruktúra nákladov podľa formy poskytovanej zdravotnej starostlivosti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4507181069958847"/>
          <c:y val="0.13301829883999763"/>
          <c:w val="0.80728353909465023"/>
          <c:h val="0.5362477103766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'G1'!$M$6</c:f>
              <c:strCache>
                <c:ptCount val="1"/>
                <c:pt idx="0">
                  <c:v>mzdy a odvody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'G1'!$N$6:$P$6</c:f>
              <c:numCache>
                <c:formatCode>0.000</c:formatCode>
                <c:ptCount val="3"/>
                <c:pt idx="0">
                  <c:v>8.7919375050110687E-2</c:v>
                </c:pt>
                <c:pt idx="1">
                  <c:v>0.49972728700873398</c:v>
                </c:pt>
                <c:pt idx="2">
                  <c:v>0.42485054546582751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B4E-8782-F09710AE6C66}"/>
            </c:ext>
          </c:extLst>
        </c:ser>
        <c:ser>
          <c:idx val="1"/>
          <c:order val="1"/>
          <c:tx>
            <c:strRef>
              <c:f>'G1'!$M$7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5316737429642114E-2"/>
                  <c:y val="-7.9228583203700853E-2"/>
                </c:manualLayout>
              </c:layout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70-4B4E-8782-F09710AE6C6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'G1'!$N$7:$P$7</c:f>
              <c:numCache>
                <c:formatCode>0.000</c:formatCode>
                <c:ptCount val="3"/>
                <c:pt idx="0">
                  <c:v>0.62738291649208033</c:v>
                </c:pt>
                <c:pt idx="1">
                  <c:v>9.0640468133506208E-2</c:v>
                </c:pt>
                <c:pt idx="2">
                  <c:v>4.0840517435281672E-2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0-4B4E-8782-F09710AE6C66}"/>
            </c:ext>
          </c:extLst>
        </c:ser>
        <c:ser>
          <c:idx val="2"/>
          <c:order val="2"/>
          <c:tx>
            <c:strRef>
              <c:f>'G1'!$M$8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/>
            </a:solidFill>
            <a:ln w="3175"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4.6590022892505848E-4"/>
                  <c:y val="1.60923259890047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70-4B4E-8782-F09710AE6C6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'G1'!$N$8:$P$8</c:f>
              <c:numCache>
                <c:formatCode>0.000</c:formatCode>
                <c:ptCount val="3"/>
                <c:pt idx="0">
                  <c:v>7.4635515827122065E-2</c:v>
                </c:pt>
                <c:pt idx="1">
                  <c:v>0.12238425414629833</c:v>
                </c:pt>
                <c:pt idx="2">
                  <c:v>7.2486117470844713E-2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0-4B4E-8782-F09710AE6C66}"/>
            </c:ext>
          </c:extLst>
        </c:ser>
        <c:ser>
          <c:idx val="3"/>
          <c:order val="3"/>
          <c:tx>
            <c:strRef>
              <c:f>'G1'!$M$9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129925452609315E-3"/>
                  <c:y val="-2.381284326366171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70-4B4E-8782-F09710AE6C66}"/>
                </c:ext>
              </c:extLst>
            </c:dLbl>
            <c:dLbl>
              <c:idx val="1"/>
              <c:layout>
                <c:manualLayout>
                  <c:x val="-9.5054762219314651E-2"/>
                  <c:y val="-5.785920982644243E-2"/>
                </c:manualLayout>
              </c:layout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70-4B4E-8782-F09710AE6C66}"/>
                </c:ext>
              </c:extLst>
            </c:dLbl>
            <c:dLbl>
              <c:idx val="2"/>
              <c:layout>
                <c:manualLayout>
                  <c:x val="-2.0272687500447875E-2"/>
                  <c:y val="-8.3050147932965376E-2"/>
                </c:manualLayout>
              </c:layout>
              <c:numFmt formatCode="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70-4B4E-8782-F09710AE6C6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'G1'!$N$9:$P$9</c:f>
              <c:numCache>
                <c:formatCode>0.000</c:formatCode>
                <c:ptCount val="3"/>
                <c:pt idx="0">
                  <c:v>9.9545935243957967E-2</c:v>
                </c:pt>
                <c:pt idx="1">
                  <c:v>5.1521779136113276E-4</c:v>
                </c:pt>
                <c:pt idx="2">
                  <c:v>5.0559296476690517E-4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70-4B4E-8782-F09710AE6C66}"/>
            </c:ext>
          </c:extLst>
        </c:ser>
        <c:ser>
          <c:idx val="4"/>
          <c:order val="4"/>
          <c:tx>
            <c:strRef>
              <c:f>'G1'!$M$10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tx2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70-4B4E-8782-F09710AE6C66}"/>
                </c:ext>
              </c:extLst>
            </c:dLbl>
            <c:dLbl>
              <c:idx val="1"/>
              <c:layout>
                <c:manualLayout>
                  <c:x val="-5.133814510541132E-2"/>
                  <c:y val="-9.74124342753703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70-4B4E-8782-F09710AE6C66}"/>
                </c:ext>
              </c:extLst>
            </c:dLbl>
            <c:dLbl>
              <c:idx val="2"/>
              <c:layout>
                <c:manualLayout>
                  <c:x val="4.4337488954673328E-2"/>
                  <c:y val="-7.4932641750284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C70-4B4E-8782-F09710AE6C6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'G1'!$N$10:$P$10</c:f>
              <c:numCache>
                <c:formatCode>0.000</c:formatCode>
                <c:ptCount val="3"/>
                <c:pt idx="0">
                  <c:v>6.1244985705527453E-5</c:v>
                </c:pt>
                <c:pt idx="1">
                  <c:v>1.1684103301674863E-2</c:v>
                </c:pt>
                <c:pt idx="2">
                  <c:v>1.1449439508353742E-3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70-4B4E-8782-F09710AE6C66}"/>
            </c:ext>
          </c:extLst>
        </c:ser>
        <c:ser>
          <c:idx val="5"/>
          <c:order val="5"/>
          <c:tx>
            <c:strRef>
              <c:f>'G1'!$M$11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2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054549093211907E-2"/>
                  <c:y val="-9.9054992369189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C70-4B4E-8782-F09710AE6C66}"/>
                </c:ext>
              </c:extLst>
            </c:dLbl>
            <c:dLbl>
              <c:idx val="1"/>
              <c:layout>
                <c:manualLayout>
                  <c:x val="-4.0087484315130956E-3"/>
                  <c:y val="-0.106541531121679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C70-4B4E-8782-F09710AE6C6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'G1'!$N$11:$P$11</c:f>
              <c:numCache>
                <c:formatCode>0.000</c:formatCode>
                <c:ptCount val="3"/>
                <c:pt idx="0">
                  <c:v>1.0157304050677329E-2</c:v>
                </c:pt>
                <c:pt idx="1">
                  <c:v>3.3047496161284821E-2</c:v>
                </c:pt>
                <c:pt idx="2">
                  <c:v>7.0062321385130202E-2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C70-4B4E-8782-F09710AE6C66}"/>
            </c:ext>
          </c:extLst>
        </c:ser>
        <c:ser>
          <c:idx val="6"/>
          <c:order val="6"/>
          <c:tx>
            <c:strRef>
              <c:f>'G1'!$M$12</c:f>
              <c:strCache>
                <c:ptCount val="1"/>
                <c:pt idx="0">
                  <c:v>stravovanie pacientov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C70-4B4E-8782-F09710AE6C66}"/>
                </c:ext>
              </c:extLst>
            </c:dLbl>
            <c:dLbl>
              <c:idx val="1"/>
              <c:layout>
                <c:manualLayout>
                  <c:x val="4.6326056878616968E-2"/>
                  <c:y val="-0.102637322624973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C70-4B4E-8782-F09710AE6C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C70-4B4E-8782-F09710AE6C6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'G1'!$N$12:$P$12</c:f>
              <c:numCache>
                <c:formatCode>0.000</c:formatCode>
                <c:ptCount val="3"/>
                <c:pt idx="0">
                  <c:v>0</c:v>
                </c:pt>
                <c:pt idx="1">
                  <c:v>1.2710730904683328E-2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C70-4B4E-8782-F09710AE6C66}"/>
            </c:ext>
          </c:extLst>
        </c:ser>
        <c:ser>
          <c:idx val="7"/>
          <c:order val="7"/>
          <c:tx>
            <c:strRef>
              <c:f>'G1'!$M$13</c:f>
              <c:strCache>
                <c:ptCount val="1"/>
                <c:pt idx="0">
                  <c:v>oprava a údržba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4701655419459752E-2"/>
                  <c:y val="-0.102687460203555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C70-4B4E-8782-F09710AE6C66}"/>
                </c:ext>
              </c:extLst>
            </c:dLbl>
            <c:dLbl>
              <c:idx val="1"/>
              <c:layout>
                <c:manualLayout>
                  <c:x val="7.847551800721253E-2"/>
                  <c:y val="-7.1118452281035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C70-4B4E-8782-F09710AE6C66}"/>
                </c:ext>
              </c:extLst>
            </c:dLbl>
            <c:dLbl>
              <c:idx val="2"/>
              <c:layout>
                <c:manualLayout>
                  <c:x val="3.7416394066750895E-2"/>
                  <c:y val="-7.5396988120816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C70-4B4E-8782-F09710AE6C6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'G1'!$N$13:$P$13</c:f>
              <c:numCache>
                <c:formatCode>0.000</c:formatCode>
                <c:ptCount val="3"/>
                <c:pt idx="0">
                  <c:v>2.9166631010887393E-3</c:v>
                </c:pt>
                <c:pt idx="1">
                  <c:v>1.575598319428656E-2</c:v>
                </c:pt>
                <c:pt idx="2">
                  <c:v>2.6771434851449869E-2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C70-4B4E-8782-F09710AE6C66}"/>
            </c:ext>
          </c:extLst>
        </c:ser>
        <c:ser>
          <c:idx val="8"/>
          <c:order val="8"/>
          <c:tx>
            <c:strRef>
              <c:f>'G1'!$M$14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'G1'!$N$5:$P$5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'G1'!$N$14:$P$14</c:f>
              <c:numCache>
                <c:formatCode>0.000</c:formatCode>
                <c:ptCount val="3"/>
                <c:pt idx="0">
                  <c:v>9.7381045249257295E-2</c:v>
                </c:pt>
                <c:pt idx="1">
                  <c:v>0.21353445935817089</c:v>
                </c:pt>
                <c:pt idx="2">
                  <c:v>0.36333852647586184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C70-4B4E-8782-F09710AE6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1103920"/>
        <c:axId val="830313968"/>
      </c:barChart>
      <c:catAx>
        <c:axId val="55110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3968"/>
        <c:crosses val="autoZero"/>
        <c:auto val="1"/>
        <c:lblAlgn val="ctr"/>
        <c:lblOffset val="100"/>
        <c:noMultiLvlLbl val="0"/>
      </c:catAx>
      <c:valAx>
        <c:axId val="83031396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551103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1666666666666"/>
          <c:y val="0.76260740740740729"/>
          <c:w val="0.88607510288065827"/>
          <c:h val="0.20553213770114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2 Štruktúra výnosov podľa formy poskytovanej zdravotnej starostlivosti</a:t>
            </a:r>
          </a:p>
        </c:rich>
      </c:tx>
      <c:layout>
        <c:manualLayout>
          <c:xMode val="edge"/>
          <c:yMode val="edge"/>
          <c:x val="0.15602201646090536"/>
          <c:y val="1.844630947446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8272345679012345"/>
          <c:y val="0.10948073493582863"/>
          <c:w val="0.77039670781892999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'G2'!$N$6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'G2'!$O$5:$Q$5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'G2'!$O$6:$Q$6</c:f>
              <c:numCache>
                <c:formatCode>0.000</c:formatCode>
                <c:ptCount val="3"/>
                <c:pt idx="0">
                  <c:v>0.54060022560526766</c:v>
                </c:pt>
                <c:pt idx="1">
                  <c:v>0.7875656761805625</c:v>
                </c:pt>
                <c:pt idx="2">
                  <c:v>0.79043627929476101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B2A-805B-13641AA53450}"/>
            </c:ext>
          </c:extLst>
        </c:ser>
        <c:ser>
          <c:idx val="1"/>
          <c:order val="1"/>
          <c:tx>
            <c:strRef>
              <c:f>'G2'!$N$7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1819218684531832E-2"/>
                  <c:y val="-8.4554271942098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80-4B2A-805B-13641AA53450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'G2'!$O$5:$Q$5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'G2'!$O$7:$Q$7</c:f>
              <c:numCache>
                <c:formatCode>0.000</c:formatCode>
                <c:ptCount val="3"/>
                <c:pt idx="0">
                  <c:v>0.40133254757270292</c:v>
                </c:pt>
                <c:pt idx="1">
                  <c:v>4.8314406612144672E-2</c:v>
                </c:pt>
                <c:pt idx="2">
                  <c:v>0.13196511233774713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0-4B2A-805B-13641AA53450}"/>
            </c:ext>
          </c:extLst>
        </c:ser>
        <c:ser>
          <c:idx val="2"/>
          <c:order val="2"/>
          <c:tx>
            <c:strRef>
              <c:f>'G2'!$N$8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3965576134391084E-3"/>
                  <c:y val="-8.90918186856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80-4B2A-805B-13641AA53450}"/>
                </c:ext>
              </c:extLst>
            </c:dLbl>
            <c:dLbl>
              <c:idx val="1"/>
              <c:layout>
                <c:manualLayout>
                  <c:x val="2.9576996036486523E-2"/>
                  <c:y val="-9.237468896588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80-4B2A-805B-13641AA53450}"/>
                </c:ext>
              </c:extLst>
            </c:dLbl>
            <c:dLbl>
              <c:idx val="2"/>
              <c:layout>
                <c:manualLayout>
                  <c:x val="5.4644808743169399E-3"/>
                  <c:y val="-9.25619674086085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80-4B2A-805B-13641AA53450}"/>
                </c:ext>
              </c:extLst>
            </c:dLbl>
            <c:numFmt formatCode="0.0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'G2'!$O$5:$Q$5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'G2'!$O$8:$Q$8</c:f>
              <c:numCache>
                <c:formatCode>0.000</c:formatCode>
                <c:ptCount val="3"/>
                <c:pt idx="0">
                  <c:v>1.2436124219596302E-4</c:v>
                </c:pt>
                <c:pt idx="1">
                  <c:v>2.9342382301220759E-3</c:v>
                </c:pt>
                <c:pt idx="2">
                  <c:v>1.3514439774800033E-3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0-4B2A-805B-13641AA53450}"/>
            </c:ext>
          </c:extLst>
        </c:ser>
        <c:ser>
          <c:idx val="3"/>
          <c:order val="3"/>
          <c:tx>
            <c:strRef>
              <c:f>'G2'!$N$9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'G2'!$O$5:$Q$5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'G2'!$O$9:$Q$9</c:f>
              <c:numCache>
                <c:formatCode>0.000</c:formatCode>
                <c:ptCount val="3"/>
                <c:pt idx="0">
                  <c:v>5.7942865579833816E-2</c:v>
                </c:pt>
                <c:pt idx="1">
                  <c:v>0.16118567897717051</c:v>
                </c:pt>
                <c:pt idx="2">
                  <c:v>7.6247164390011349E-2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80-4B2A-805B-13641AA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9616"/>
        <c:axId val="830308528"/>
      </c:barChart>
      <c:catAx>
        <c:axId val="8303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8528"/>
        <c:crosses val="autoZero"/>
        <c:auto val="1"/>
        <c:lblAlgn val="ctr"/>
        <c:lblOffset val="100"/>
        <c:noMultiLvlLbl val="0"/>
      </c:catAx>
      <c:valAx>
        <c:axId val="83030852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96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6707818930042"/>
          <c:y val="0.84923700544645442"/>
          <c:w val="0.76713286713286721"/>
          <c:h val="0.11508674274172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3 Štruktúra nákladov v zariadeniach ústavnej zdravotnej starostlivosti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8751069958847735"/>
          <c:y val="0.13381274524064074"/>
          <c:w val="0.76484465020576131"/>
          <c:h val="0.583231364288988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'G3'!$N$6</c:f>
              <c:strCache>
                <c:ptCount val="1"/>
                <c:pt idx="0">
                  <c:v>mzdy a odvody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'G3'!$O$6:$R$6</c:f>
              <c:numCache>
                <c:formatCode>0.000</c:formatCode>
                <c:ptCount val="4"/>
                <c:pt idx="0">
                  <c:v>0.40345216819668672</c:v>
                </c:pt>
                <c:pt idx="1">
                  <c:v>0.66468625496180656</c:v>
                </c:pt>
                <c:pt idx="2">
                  <c:v>0.49182355255998023</c:v>
                </c:pt>
                <c:pt idx="3">
                  <c:v>0.51377153521004981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AEB-945B-97776E20CCAF}"/>
            </c:ext>
          </c:extLst>
        </c:ser>
        <c:ser>
          <c:idx val="1"/>
          <c:order val="1"/>
          <c:tx>
            <c:strRef>
              <c:f>'G3'!$N$7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336414916664045"/>
                  <c:y val="-4.8791751857065066E-2"/>
                </c:manualLayout>
              </c:layout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B8-4AEB-945B-97776E20CCAF}"/>
                </c:ext>
              </c:extLst>
            </c:dLbl>
            <c:dLbl>
              <c:idx val="1"/>
              <c:layout>
                <c:manualLayout>
                  <c:x val="-9.1457020376024142E-2"/>
                  <c:y val="-3.8909540084293245E-2"/>
                </c:manualLayout>
              </c:layout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'G3'!$O$7:$R$7</c:f>
              <c:numCache>
                <c:formatCode>0.000</c:formatCode>
                <c:ptCount val="4"/>
                <c:pt idx="0">
                  <c:v>1.0772484424427008E-2</c:v>
                </c:pt>
                <c:pt idx="1">
                  <c:v>3.6593028685385699E-2</c:v>
                </c:pt>
                <c:pt idx="2">
                  <c:v>0.10200651368405486</c:v>
                </c:pt>
                <c:pt idx="3">
                  <c:v>8.9105631654255349E-2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8-4AEB-945B-97776E20CCAF}"/>
            </c:ext>
          </c:extLst>
        </c:ser>
        <c:ser>
          <c:idx val="2"/>
          <c:order val="2"/>
          <c:tx>
            <c:strRef>
              <c:f>'G3'!$N$8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2819657997902035E-2"/>
                  <c:y val="-7.9404557643505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B8-4AEB-945B-97776E20CCAF}"/>
                </c:ext>
              </c:extLst>
            </c:dLbl>
            <c:dLbl>
              <c:idx val="1"/>
              <c:layout>
                <c:manualLayout>
                  <c:x val="-7.028681866480109E-2"/>
                  <c:y val="-7.2336462691967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'G3'!$O$8:$R$8</c:f>
              <c:numCache>
                <c:formatCode>0.000</c:formatCode>
                <c:ptCount val="4"/>
                <c:pt idx="0">
                  <c:v>4.8497152836379596E-3</c:v>
                </c:pt>
                <c:pt idx="1">
                  <c:v>1.0689798511823294E-2</c:v>
                </c:pt>
                <c:pt idx="2">
                  <c:v>0.12415689419511833</c:v>
                </c:pt>
                <c:pt idx="3">
                  <c:v>0.13487400070319636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8-4AEB-945B-97776E20CCAF}"/>
            </c:ext>
          </c:extLst>
        </c:ser>
        <c:ser>
          <c:idx val="3"/>
          <c:order val="3"/>
          <c:tx>
            <c:strRef>
              <c:f>'G3'!$N$9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tx1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3495762437490235E-3"/>
                  <c:y val="-7.5027483535564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B8-4AEB-945B-97776E20CC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B8-4AEB-945B-97776E20CC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B8-4AEB-945B-97776E20CCAF}"/>
                </c:ext>
              </c:extLst>
            </c:dLbl>
            <c:dLbl>
              <c:idx val="3"/>
              <c:layout>
                <c:manualLayout>
                  <c:x val="-0.1104480290385423"/>
                  <c:y val="-4.3376211073553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'G3'!$O$9:$R$9</c:f>
              <c:numCache>
                <c:formatCode>0.000</c:formatCode>
                <c:ptCount val="4"/>
                <c:pt idx="0">
                  <c:v>1.2748590100920716E-3</c:v>
                </c:pt>
                <c:pt idx="1">
                  <c:v>0</c:v>
                </c:pt>
                <c:pt idx="2">
                  <c:v>1.2330215975807371E-4</c:v>
                </c:pt>
                <c:pt idx="3">
                  <c:v>8.1793046612306617E-4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B8-4AEB-945B-97776E20CCAF}"/>
            </c:ext>
          </c:extLst>
        </c:ser>
        <c:ser>
          <c:idx val="4"/>
          <c:order val="4"/>
          <c:tx>
            <c:strRef>
              <c:f>'G3'!$N$10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tx2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B8-4AEB-945B-97776E20CCAF}"/>
                </c:ext>
              </c:extLst>
            </c:dLbl>
            <c:dLbl>
              <c:idx val="1"/>
              <c:layout>
                <c:manualLayout>
                  <c:x val="-6.7873733633465735E-3"/>
                  <c:y val="-8.5002432238974149E-2"/>
                </c:manualLayout>
              </c:layout>
              <c:numFmt formatCode="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B8-4AEB-945B-97776E20CCAF}"/>
                </c:ext>
              </c:extLst>
            </c:dLbl>
            <c:dLbl>
              <c:idx val="2"/>
              <c:layout>
                <c:manualLayout>
                  <c:x val="-7.0487287312473293E-2"/>
                  <c:y val="-4.8930967523194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B8-4AEB-945B-97776E20CCAF}"/>
                </c:ext>
              </c:extLst>
            </c:dLbl>
            <c:dLbl>
              <c:idx val="3"/>
              <c:layout>
                <c:manualLayout>
                  <c:x val="-7.5186439799971597E-2"/>
                  <c:y val="-7.502748353556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'G3'!$O$10:$R$10</c:f>
              <c:numCache>
                <c:formatCode>0.000</c:formatCode>
                <c:ptCount val="4"/>
                <c:pt idx="0">
                  <c:v>0</c:v>
                </c:pt>
                <c:pt idx="1">
                  <c:v>4.2354046456323638E-4</c:v>
                </c:pt>
                <c:pt idx="2">
                  <c:v>1.4925389302207851E-2</c:v>
                </c:pt>
                <c:pt idx="3">
                  <c:v>1.0034820041858145E-2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B8-4AEB-945B-97776E20CCAF}"/>
            </c:ext>
          </c:extLst>
        </c:ser>
        <c:ser>
          <c:idx val="5"/>
          <c:order val="5"/>
          <c:tx>
            <c:strRef>
              <c:f>'G3'!$N$11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2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3935652041554094E-2"/>
                  <c:y val="-6.19791565759730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3B8-4AEB-945B-97776E20CCAF}"/>
                </c:ext>
              </c:extLst>
            </c:dLbl>
            <c:dLbl>
              <c:idx val="1"/>
              <c:layout>
                <c:manualLayout>
                  <c:x val="5.0893607154468327E-2"/>
                  <c:y val="-8.5778547103993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3B8-4AEB-945B-97776E20CCAF}"/>
                </c:ext>
              </c:extLst>
            </c:dLbl>
            <c:dLbl>
              <c:idx val="2"/>
              <c:layout>
                <c:manualLayout>
                  <c:x val="-3.0280864197530961E-2"/>
                  <c:y val="-8.8102160493827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3B8-4AEB-945B-97776E20CCAF}"/>
                </c:ext>
              </c:extLst>
            </c:dLbl>
            <c:dLbl>
              <c:idx val="3"/>
              <c:layout>
                <c:manualLayout>
                  <c:x val="-1.4202075655612701E-2"/>
                  <c:y val="-7.5027372506431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'G3'!$O$11:$R$11</c:f>
              <c:numCache>
                <c:formatCode>0.000</c:formatCode>
                <c:ptCount val="4"/>
                <c:pt idx="0">
                  <c:v>4.921991030352027E-2</c:v>
                </c:pt>
                <c:pt idx="1">
                  <c:v>3.4057342757051468E-2</c:v>
                </c:pt>
                <c:pt idx="2">
                  <c:v>3.0243158297297856E-2</c:v>
                </c:pt>
                <c:pt idx="3">
                  <c:v>3.4027503454035039E-2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3B8-4AEB-945B-97776E20CCAF}"/>
            </c:ext>
          </c:extLst>
        </c:ser>
        <c:ser>
          <c:idx val="6"/>
          <c:order val="6"/>
          <c:tx>
            <c:strRef>
              <c:f>'G3'!$N$12</c:f>
              <c:strCache>
                <c:ptCount val="1"/>
                <c:pt idx="0">
                  <c:v>stravovanie pacientov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0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63B8-4AEB-945B-97776E20CCAF}"/>
                </c:ext>
              </c:extLst>
            </c:dLbl>
            <c:dLbl>
              <c:idx val="1"/>
              <c:layout>
                <c:manualLayout>
                  <c:x val="6.7876294906433043E-2"/>
                  <c:y val="-6.5241341464883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3B8-4AEB-945B-97776E20CCAF}"/>
                </c:ext>
              </c:extLst>
            </c:dLbl>
            <c:dLbl>
              <c:idx val="2"/>
              <c:layout>
                <c:manualLayout>
                  <c:x val="4.6991769547325103E-3"/>
                  <c:y val="-8.4182407407407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3B8-4AEB-945B-97776E20CCAF}"/>
                </c:ext>
              </c:extLst>
            </c:dLbl>
            <c:dLbl>
              <c:idx val="3"/>
              <c:layout>
                <c:manualLayout>
                  <c:x val="2.365473251028816E-2"/>
                  <c:y val="-8.02626543209876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'G3'!$O$12:$R$12</c:f>
              <c:numCache>
                <c:formatCode>0.000</c:formatCode>
                <c:ptCount val="4"/>
                <c:pt idx="0">
                  <c:v>6.8907803093326864E-2</c:v>
                </c:pt>
                <c:pt idx="1">
                  <c:v>3.8774116528178408E-2</c:v>
                </c:pt>
                <c:pt idx="2">
                  <c:v>9.6586192849124376E-3</c:v>
                </c:pt>
                <c:pt idx="3">
                  <c:v>9.3556533536753375E-3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3B8-4AEB-945B-97776E20CCAF}"/>
            </c:ext>
          </c:extLst>
        </c:ser>
        <c:ser>
          <c:idx val="7"/>
          <c:order val="7"/>
          <c:tx>
            <c:strRef>
              <c:f>'G3'!$N$13</c:f>
              <c:strCache>
                <c:ptCount val="1"/>
                <c:pt idx="0">
                  <c:v>oprava a údržba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5918750567139014E-2"/>
                  <c:y val="-6.2105088432438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3B8-4AEB-945B-97776E20CCAF}"/>
                </c:ext>
              </c:extLst>
            </c:dLbl>
            <c:dLbl>
              <c:idx val="1"/>
              <c:layout>
                <c:manualLayout>
                  <c:x val="0.10071821752964473"/>
                  <c:y val="-5.2255960556362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3B8-4AEB-945B-97776E20CCAF}"/>
                </c:ext>
              </c:extLst>
            </c:dLbl>
            <c:dLbl>
              <c:idx val="2"/>
              <c:layout>
                <c:manualLayout>
                  <c:x val="5.6389829849978632E-2"/>
                  <c:y val="-5.2193032024740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3B8-4AEB-945B-97776E20CCAF}"/>
                </c:ext>
              </c:extLst>
            </c:dLbl>
            <c:dLbl>
              <c:idx val="3"/>
              <c:layout>
                <c:manualLayout>
                  <c:x val="7.7457651180966369E-2"/>
                  <c:y val="-5.88431653561201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'G3'!$O$13:$R$13</c:f>
              <c:numCache>
                <c:formatCode>0.000</c:formatCode>
                <c:ptCount val="4"/>
                <c:pt idx="0">
                  <c:v>2.0693671178139722E-2</c:v>
                </c:pt>
                <c:pt idx="1">
                  <c:v>1.6664061218337432E-2</c:v>
                </c:pt>
                <c:pt idx="2">
                  <c:v>1.4989367260851046E-2</c:v>
                </c:pt>
                <c:pt idx="3">
                  <c:v>1.5958864406808802E-2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8-4AEB-945B-97776E20CCAF}"/>
            </c:ext>
          </c:extLst>
        </c:ser>
        <c:ser>
          <c:idx val="8"/>
          <c:order val="8"/>
          <c:tx>
            <c:strRef>
              <c:f>'G3'!$N$14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'G3'!$O$14:$R$14</c:f>
              <c:numCache>
                <c:formatCode>0.000</c:formatCode>
                <c:ptCount val="4"/>
                <c:pt idx="0">
                  <c:v>0.44082938851016912</c:v>
                </c:pt>
                <c:pt idx="1">
                  <c:v>0.19811185687285374</c:v>
                </c:pt>
                <c:pt idx="2">
                  <c:v>0.21207320325581938</c:v>
                </c:pt>
                <c:pt idx="3">
                  <c:v>0.19205406070999823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3B8-4AEB-945B-97776E20C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5808"/>
        <c:axId val="830303088"/>
      </c:barChart>
      <c:catAx>
        <c:axId val="8303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3088"/>
        <c:crosses val="autoZero"/>
        <c:auto val="1"/>
        <c:lblAlgn val="ctr"/>
        <c:lblOffset val="100"/>
        <c:noMultiLvlLbl val="0"/>
      </c:catAx>
      <c:valAx>
        <c:axId val="83030308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580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76399176954732"/>
          <c:y val="0.81074879151864265"/>
          <c:w val="0.86227263374485608"/>
          <c:h val="0.17437476194006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4 Štruktúra výnosov v zariadeniach ústavnej zdravotnej starostlivosti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236152263374487"/>
          <c:y val="0.11924465043190895"/>
          <c:w val="0.73522016460905348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'G4'!$M$6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'G4'!$N$5:$Q$5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'G4'!$N$6:$Q$6</c:f>
              <c:numCache>
                <c:formatCode>0.000</c:formatCode>
                <c:ptCount val="4"/>
                <c:pt idx="0">
                  <c:v>0.36030526360950071</c:v>
                </c:pt>
                <c:pt idx="1">
                  <c:v>0.83570208625971243</c:v>
                </c:pt>
                <c:pt idx="2">
                  <c:v>0.7471564731567123</c:v>
                </c:pt>
                <c:pt idx="3">
                  <c:v>0.86940732662653564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01A-9E49-27ABF2F55EB6}"/>
            </c:ext>
          </c:extLst>
        </c:ser>
        <c:ser>
          <c:idx val="1"/>
          <c:order val="1"/>
          <c:tx>
            <c:strRef>
              <c:f>'G4'!$M$7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4.6620046620046623E-2"/>
                  <c:y val="-6.656876115196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4F-401A-9E49-27ABF2F55EB6}"/>
                </c:ext>
              </c:extLst>
            </c:dLbl>
            <c:dLbl>
              <c:idx val="2"/>
              <c:layout>
                <c:manualLayout>
                  <c:x val="-4.195804195804196E-2"/>
                  <c:y val="-6.6568761151963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4F-401A-9E49-27ABF2F55EB6}"/>
                </c:ext>
              </c:extLst>
            </c:dLbl>
            <c:dLbl>
              <c:idx val="3"/>
              <c:layout>
                <c:manualLayout>
                  <c:x val="-4.195804195804196E-2"/>
                  <c:y val="-5.873714219290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4F-401A-9E49-27ABF2F55EB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'G4'!$N$5:$Q$5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'G4'!$N$7:$Q$7</c:f>
              <c:numCache>
                <c:formatCode>0.000</c:formatCode>
                <c:ptCount val="4"/>
                <c:pt idx="0">
                  <c:v>0.53853580138713708</c:v>
                </c:pt>
                <c:pt idx="1">
                  <c:v>2.2923053532611995E-2</c:v>
                </c:pt>
                <c:pt idx="2">
                  <c:v>1.5061807748937837E-2</c:v>
                </c:pt>
                <c:pt idx="3">
                  <c:v>2.925707299086646E-2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F-401A-9E49-27ABF2F55EB6}"/>
            </c:ext>
          </c:extLst>
        </c:ser>
        <c:ser>
          <c:idx val="2"/>
          <c:order val="2"/>
          <c:tx>
            <c:strRef>
              <c:f>'G4'!$M$8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972027972027972E-2"/>
                  <c:y val="-8.2231999070072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4F-401A-9E49-27ABF2F55E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4F-401A-9E49-27ABF2F55EB6}"/>
                </c:ext>
              </c:extLst>
            </c:dLbl>
            <c:dLbl>
              <c:idx val="2"/>
              <c:layout>
                <c:manualLayout>
                  <c:x val="2.097902097902098E-2"/>
                  <c:y val="-7.8316189590545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4F-401A-9E49-27ABF2F55EB6}"/>
                </c:ext>
              </c:extLst>
            </c:dLbl>
            <c:dLbl>
              <c:idx val="3"/>
              <c:layout>
                <c:manualLayout>
                  <c:x val="2.7972027972027972E-2"/>
                  <c:y val="-7.8316189590545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4F-401A-9E49-27ABF2F55EB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'G4'!$N$5:$Q$5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'G4'!$N$8:$Q$8</c:f>
              <c:numCache>
                <c:formatCode>0.000</c:formatCode>
                <c:ptCount val="4"/>
                <c:pt idx="0">
                  <c:v>4.2877548583602366E-3</c:v>
                </c:pt>
                <c:pt idx="1">
                  <c:v>9.5481832270709438E-5</c:v>
                </c:pt>
                <c:pt idx="2">
                  <c:v>5.2502433000313946E-3</c:v>
                </c:pt>
                <c:pt idx="3">
                  <c:v>6.5509177295746497E-4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4F-401A-9E49-27ABF2F55EB6}"/>
            </c:ext>
          </c:extLst>
        </c:ser>
        <c:ser>
          <c:idx val="3"/>
          <c:order val="3"/>
          <c:tx>
            <c:strRef>
              <c:f>'G4'!$M$9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/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'G4'!$N$5:$Q$5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'G4'!$N$9:$Q$9</c:f>
              <c:numCache>
                <c:formatCode>0.000</c:formatCode>
                <c:ptCount val="4"/>
                <c:pt idx="0">
                  <c:v>9.6871180145001956E-2</c:v>
                </c:pt>
                <c:pt idx="1">
                  <c:v>0.14127937837540491</c:v>
                </c:pt>
                <c:pt idx="2">
                  <c:v>0.23253147579431843</c:v>
                </c:pt>
                <c:pt idx="3">
                  <c:v>0.10068050860963985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4F-401A-9E49-27ABF2F5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2000"/>
        <c:axId val="830316144"/>
      </c:barChart>
      <c:catAx>
        <c:axId val="8303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6144"/>
        <c:crosses val="autoZero"/>
        <c:auto val="1"/>
        <c:lblAlgn val="ctr"/>
        <c:lblOffset val="100"/>
        <c:noMultiLvlLbl val="0"/>
      </c:catAx>
      <c:valAx>
        <c:axId val="83031614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20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83216783216783"/>
          <c:y val="0.8446320987654321"/>
          <c:w val="0.76946386946386947"/>
          <c:h val="0.1279570987654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3</xdr:row>
      <xdr:rowOff>2163</xdr:rowOff>
    </xdr:from>
    <xdr:to>
      <xdr:col>8</xdr:col>
      <xdr:colOff>764250</xdr:colOff>
      <xdr:row>24</xdr:row>
      <xdr:rowOff>85725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34201</xdr:rowOff>
    </xdr:from>
    <xdr:to>
      <xdr:col>10</xdr:col>
      <xdr:colOff>30825</xdr:colOff>
      <xdr:row>18</xdr:row>
      <xdr:rowOff>57149</xdr:rowOff>
    </xdr:to>
    <xdr:graphicFrame macro="">
      <xdr:nvGraphicFramePr>
        <xdr:cNvPr id="3" name="Graf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382733</xdr:colOff>
      <xdr:row>3</xdr:row>
      <xdr:rowOff>66676</xdr:rowOff>
    </xdr:from>
    <xdr:to>
      <xdr:col>11</xdr:col>
      <xdr:colOff>523876</xdr:colOff>
      <xdr:row>20</xdr:row>
      <xdr:rowOff>9525</xdr:rowOff>
    </xdr:to>
    <xdr:graphicFrame macro="">
      <xdr:nvGraphicFramePr>
        <xdr:cNvPr id="4" name="Graf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2</xdr:row>
      <xdr:rowOff>161059</xdr:rowOff>
    </xdr:from>
    <xdr:to>
      <xdr:col>10</xdr:col>
      <xdr:colOff>561975</xdr:colOff>
      <xdr:row>20</xdr:row>
      <xdr:rowOff>142874</xdr:rowOff>
    </xdr:to>
    <xdr:graphicFrame macro="">
      <xdr:nvGraphicFramePr>
        <xdr:cNvPr id="5" name="Graf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2" sqref="A2"/>
    </sheetView>
  </sheetViews>
  <sheetFormatPr defaultRowHeight="15" customHeight="1" x14ac:dyDescent="0.2"/>
  <cols>
    <col min="1" max="1" width="8.125" style="3" customWidth="1"/>
    <col min="2" max="2" width="84.75" style="3" customWidth="1"/>
    <col min="3" max="16384" width="9" style="3"/>
  </cols>
  <sheetData>
    <row r="1" spans="1:3" ht="15" customHeight="1" x14ac:dyDescent="0.2">
      <c r="A1" s="99" t="s">
        <v>183</v>
      </c>
      <c r="B1" s="87"/>
      <c r="C1" s="87"/>
    </row>
    <row r="2" spans="1:3" ht="15" customHeight="1" x14ac:dyDescent="0.2">
      <c r="A2" s="82"/>
      <c r="B2" s="82"/>
      <c r="C2" s="82"/>
    </row>
    <row r="3" spans="1:3" ht="15" customHeight="1" x14ac:dyDescent="0.2">
      <c r="A3" s="83"/>
      <c r="B3" s="84" t="s">
        <v>162</v>
      </c>
      <c r="C3" s="84" t="s">
        <v>163</v>
      </c>
    </row>
    <row r="4" spans="1:3" ht="15" customHeight="1" x14ac:dyDescent="0.2">
      <c r="A4" s="85"/>
      <c r="B4" s="85" t="s">
        <v>127</v>
      </c>
      <c r="C4" s="88" t="s">
        <v>165</v>
      </c>
    </row>
    <row r="5" spans="1:3" ht="15" customHeight="1" x14ac:dyDescent="0.2">
      <c r="A5" s="86" t="s">
        <v>164</v>
      </c>
      <c r="B5" s="86" t="s">
        <v>120</v>
      </c>
      <c r="C5" s="88" t="s">
        <v>166</v>
      </c>
    </row>
    <row r="6" spans="1:3" ht="15" customHeight="1" x14ac:dyDescent="0.2">
      <c r="A6" s="86" t="s">
        <v>164</v>
      </c>
      <c r="B6" s="101" t="s">
        <v>121</v>
      </c>
      <c r="C6" s="89" t="s">
        <v>168</v>
      </c>
    </row>
    <row r="7" spans="1:3" ht="15" customHeight="1" x14ac:dyDescent="0.2">
      <c r="A7" s="86" t="s">
        <v>164</v>
      </c>
      <c r="B7" s="101" t="s">
        <v>122</v>
      </c>
      <c r="C7" s="89" t="s">
        <v>169</v>
      </c>
    </row>
    <row r="8" spans="1:3" ht="15" customHeight="1" x14ac:dyDescent="0.2">
      <c r="A8" s="3" t="s">
        <v>167</v>
      </c>
      <c r="B8" s="2" t="s">
        <v>123</v>
      </c>
      <c r="C8" s="89" t="s">
        <v>170</v>
      </c>
    </row>
    <row r="9" spans="1:3" ht="15" customHeight="1" x14ac:dyDescent="0.2">
      <c r="A9" s="3" t="s">
        <v>167</v>
      </c>
      <c r="B9" s="2" t="s">
        <v>124</v>
      </c>
      <c r="C9" s="89" t="s">
        <v>171</v>
      </c>
    </row>
    <row r="10" spans="1:3" ht="15" customHeight="1" x14ac:dyDescent="0.2">
      <c r="A10" s="3" t="s">
        <v>167</v>
      </c>
      <c r="B10" s="2" t="s">
        <v>125</v>
      </c>
      <c r="C10" s="89" t="s">
        <v>172</v>
      </c>
    </row>
    <row r="11" spans="1:3" ht="15" customHeight="1" x14ac:dyDescent="0.2">
      <c r="A11" s="3" t="s">
        <v>167</v>
      </c>
      <c r="B11" s="2" t="s">
        <v>126</v>
      </c>
      <c r="C11" s="89" t="s">
        <v>173</v>
      </c>
    </row>
  </sheetData>
  <hyperlinks>
    <hyperlink ref="C4" location="Meta!A1" display="Meta"/>
    <hyperlink ref="C5" location="'T1'!A1" display="T1"/>
    <hyperlink ref="C6" location="'T2'!A1" display="T2"/>
    <hyperlink ref="C7" location="'T3'!A1" display="T3"/>
    <hyperlink ref="C8" location="'G1'!A1" display="G1"/>
    <hyperlink ref="C9" location="'G2'!A1" display="G2"/>
    <hyperlink ref="C10" location="'G3'!A1" display="G3"/>
    <hyperlink ref="C11" location="'G4'!A1" display="G4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zoomScaleNormal="100" workbookViewId="0">
      <selection activeCell="A2" sqref="A2"/>
    </sheetView>
  </sheetViews>
  <sheetFormatPr defaultRowHeight="12" x14ac:dyDescent="0.2"/>
  <cols>
    <col min="1" max="1" width="12.125" style="56" customWidth="1"/>
    <col min="2" max="2" width="10.5" style="56" customWidth="1"/>
    <col min="3" max="3" width="61.5" style="56" customWidth="1"/>
    <col min="4" max="22" width="9" style="2"/>
    <col min="23" max="23" width="8" style="2" customWidth="1"/>
    <col min="24" max="16384" width="9" style="2"/>
  </cols>
  <sheetData>
    <row r="1" spans="1:23" ht="21.75" customHeight="1" x14ac:dyDescent="0.2">
      <c r="A1" s="149" t="s">
        <v>183</v>
      </c>
      <c r="B1" s="150"/>
      <c r="C1" s="150"/>
      <c r="E1" s="48"/>
      <c r="W1" s="49"/>
    </row>
    <row r="2" spans="1:23" s="3" customFormat="1" ht="13.5" customHeight="1" x14ac:dyDescent="0.2">
      <c r="A2" s="90"/>
      <c r="B2" s="91"/>
      <c r="C2" s="91"/>
      <c r="E2" s="92"/>
      <c r="W2" s="93"/>
    </row>
    <row r="3" spans="1:23" ht="21.75" customHeight="1" x14ac:dyDescent="0.2">
      <c r="A3" s="151" t="s">
        <v>127</v>
      </c>
      <c r="B3" s="151"/>
      <c r="C3" s="151"/>
      <c r="E3" s="48"/>
      <c r="W3" s="49"/>
    </row>
    <row r="4" spans="1:23" ht="30.75" customHeight="1" x14ac:dyDescent="0.2">
      <c r="A4" s="152" t="s">
        <v>182</v>
      </c>
      <c r="B4" s="152"/>
      <c r="C4" s="152"/>
      <c r="D4" s="100"/>
      <c r="W4" s="49"/>
    </row>
    <row r="5" spans="1:23" ht="45" customHeight="1" x14ac:dyDescent="0.2">
      <c r="A5" s="153" t="s">
        <v>184</v>
      </c>
      <c r="B5" s="152"/>
      <c r="C5" s="152"/>
      <c r="E5" s="48"/>
      <c r="W5" s="49"/>
    </row>
    <row r="6" spans="1:23" ht="103.5" customHeight="1" x14ac:dyDescent="0.2">
      <c r="A6" s="152" t="s">
        <v>185</v>
      </c>
      <c r="B6" s="152"/>
      <c r="C6" s="152"/>
      <c r="E6" s="48"/>
      <c r="W6" s="49"/>
    </row>
    <row r="7" spans="1:23" ht="14.25" customHeight="1" x14ac:dyDescent="0.2">
      <c r="A7" s="51"/>
      <c r="B7" s="51"/>
      <c r="C7" s="51"/>
    </row>
    <row r="8" spans="1:23" ht="33" customHeight="1" x14ac:dyDescent="0.2">
      <c r="A8" s="147" t="s">
        <v>154</v>
      </c>
      <c r="B8" s="147"/>
      <c r="C8" s="147"/>
    </row>
    <row r="9" spans="1:23" ht="40.5" customHeight="1" x14ac:dyDescent="0.2">
      <c r="A9" s="147" t="s">
        <v>156</v>
      </c>
      <c r="B9" s="147"/>
      <c r="C9" s="147"/>
    </row>
    <row r="10" spans="1:23" ht="32.25" customHeight="1" x14ac:dyDescent="0.2">
      <c r="A10" s="147" t="s">
        <v>155</v>
      </c>
      <c r="B10" s="147"/>
      <c r="C10" s="147"/>
    </row>
    <row r="11" spans="1:23" s="3" customFormat="1" ht="13.5" customHeight="1" x14ac:dyDescent="0.2">
      <c r="A11" s="94"/>
      <c r="B11" s="94"/>
      <c r="C11" s="94"/>
    </row>
    <row r="12" spans="1:23" s="3" customFormat="1" ht="13.5" customHeight="1" x14ac:dyDescent="0.2">
      <c r="A12" s="153" t="s">
        <v>174</v>
      </c>
      <c r="B12" s="153"/>
      <c r="C12" s="153"/>
    </row>
    <row r="13" spans="1:23" s="3" customFormat="1" ht="13.5" customHeight="1" x14ac:dyDescent="0.2">
      <c r="A13" s="60" t="s">
        <v>177</v>
      </c>
      <c r="B13" s="98" t="s">
        <v>176</v>
      </c>
      <c r="C13" s="59"/>
    </row>
    <row r="14" spans="1:23" s="3" customFormat="1" ht="13.5" customHeight="1" x14ac:dyDescent="0.2">
      <c r="A14" s="96" t="s">
        <v>153</v>
      </c>
      <c r="B14" s="97" t="s">
        <v>175</v>
      </c>
      <c r="C14" s="96"/>
    </row>
    <row r="15" spans="1:23" s="3" customFormat="1" ht="13.5" customHeight="1" x14ac:dyDescent="0.2">
      <c r="A15" s="96" t="s">
        <v>180</v>
      </c>
      <c r="B15" s="97" t="s">
        <v>181</v>
      </c>
      <c r="C15" s="96"/>
    </row>
    <row r="16" spans="1:23" s="3" customFormat="1" ht="13.5" customHeight="1" x14ac:dyDescent="0.2">
      <c r="A16" s="96" t="s">
        <v>178</v>
      </c>
      <c r="B16" s="97" t="s">
        <v>179</v>
      </c>
      <c r="C16" s="96"/>
    </row>
    <row r="17" spans="1:3" s="3" customFormat="1" ht="12.75" customHeight="1" x14ac:dyDescent="0.2">
      <c r="A17" s="95"/>
    </row>
    <row r="18" spans="1:3" ht="13.5" customHeight="1" x14ac:dyDescent="0.2">
      <c r="A18" s="52" t="s">
        <v>128</v>
      </c>
      <c r="B18" s="53"/>
      <c r="C18" s="53"/>
    </row>
    <row r="19" spans="1:3" ht="13.5" customHeight="1" x14ac:dyDescent="0.2">
      <c r="A19" s="54" t="s">
        <v>129</v>
      </c>
      <c r="B19" s="54" t="s">
        <v>130</v>
      </c>
      <c r="C19" s="54" t="s">
        <v>131</v>
      </c>
    </row>
    <row r="20" spans="1:3" ht="13.5" customHeight="1" x14ac:dyDescent="0.2">
      <c r="A20" s="54" t="s">
        <v>132</v>
      </c>
      <c r="B20" s="54" t="s">
        <v>133</v>
      </c>
      <c r="C20" s="54" t="s">
        <v>134</v>
      </c>
    </row>
    <row r="21" spans="1:3" ht="13.5" customHeight="1" x14ac:dyDescent="0.2">
      <c r="A21" s="54" t="s">
        <v>135</v>
      </c>
      <c r="B21" s="54" t="s">
        <v>136</v>
      </c>
      <c r="C21" s="54" t="s">
        <v>137</v>
      </c>
    </row>
    <row r="22" spans="1:3" ht="13.5" customHeight="1" x14ac:dyDescent="0.2">
      <c r="A22" s="54" t="s">
        <v>138</v>
      </c>
      <c r="B22" s="54" t="s">
        <v>139</v>
      </c>
      <c r="C22" s="54" t="s">
        <v>140</v>
      </c>
    </row>
    <row r="23" spans="1:3" ht="13.5" customHeight="1" x14ac:dyDescent="0.2">
      <c r="A23" s="54" t="s">
        <v>141</v>
      </c>
      <c r="B23" s="54" t="s">
        <v>142</v>
      </c>
      <c r="C23" s="54" t="s">
        <v>143</v>
      </c>
    </row>
    <row r="24" spans="1:3" ht="13.5" customHeight="1" x14ac:dyDescent="0.2">
      <c r="A24" s="55" t="s">
        <v>144</v>
      </c>
      <c r="B24" s="54" t="s">
        <v>145</v>
      </c>
      <c r="C24" s="54" t="s">
        <v>146</v>
      </c>
    </row>
    <row r="25" spans="1:3" ht="13.5" customHeight="1" x14ac:dyDescent="0.2">
      <c r="A25" s="54" t="s">
        <v>147</v>
      </c>
      <c r="B25" s="54"/>
      <c r="C25" s="54" t="s">
        <v>148</v>
      </c>
    </row>
    <row r="26" spans="1:3" ht="13.5" customHeight="1" x14ac:dyDescent="0.2">
      <c r="A26" s="54" t="s">
        <v>149</v>
      </c>
      <c r="B26" s="54"/>
      <c r="C26" s="54" t="s">
        <v>150</v>
      </c>
    </row>
    <row r="27" spans="1:3" ht="13.5" customHeight="1" x14ac:dyDescent="0.2">
      <c r="A27" s="61"/>
      <c r="B27" s="50"/>
      <c r="C27" s="50"/>
    </row>
    <row r="28" spans="1:3" ht="13.5" customHeight="1" x14ac:dyDescent="0.2">
      <c r="A28" s="148" t="s">
        <v>151</v>
      </c>
      <c r="B28" s="148"/>
      <c r="C28" s="148"/>
    </row>
    <row r="29" spans="1:3" x14ac:dyDescent="0.2">
      <c r="A29" s="148" t="s">
        <v>152</v>
      </c>
      <c r="B29" s="148"/>
      <c r="C29" s="148"/>
    </row>
    <row r="30" spans="1:3" ht="12" customHeight="1" x14ac:dyDescent="0.2"/>
    <row r="31" spans="1:3" ht="12" customHeight="1" x14ac:dyDescent="0.2"/>
  </sheetData>
  <mergeCells count="11">
    <mergeCell ref="A8:C8"/>
    <mergeCell ref="A10:C10"/>
    <mergeCell ref="A28:C28"/>
    <mergeCell ref="A29:C29"/>
    <mergeCell ref="A1:C1"/>
    <mergeCell ref="A9:C9"/>
    <mergeCell ref="A3:C3"/>
    <mergeCell ref="A4:C4"/>
    <mergeCell ref="A5:C5"/>
    <mergeCell ref="A6:C6"/>
    <mergeCell ref="A12:C12"/>
  </mergeCell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zoomScaleNormal="100" workbookViewId="0">
      <selection activeCell="A3" sqref="A3"/>
    </sheetView>
  </sheetViews>
  <sheetFormatPr defaultRowHeight="13.5" customHeight="1" x14ac:dyDescent="0.2"/>
  <cols>
    <col min="1" max="1" width="27.125" style="2" customWidth="1"/>
    <col min="2" max="2" width="13.75" style="2" customWidth="1"/>
    <col min="3" max="3" width="13.25" style="2" customWidth="1"/>
    <col min="4" max="4" width="11.125" style="2" customWidth="1"/>
    <col min="5" max="5" width="12.75" style="2" customWidth="1"/>
    <col min="6" max="6" width="11.25" style="2" customWidth="1"/>
    <col min="7" max="7" width="11.5" style="2" customWidth="1"/>
    <col min="8" max="8" width="11.75" style="2" customWidth="1"/>
    <col min="9" max="9" width="10.25" style="2" customWidth="1"/>
    <col min="10" max="10" width="11.875" style="2" customWidth="1"/>
    <col min="11" max="11" width="13" style="2" customWidth="1"/>
    <col min="12" max="12" width="12.5" style="2" customWidth="1"/>
    <col min="13" max="13" width="11.5" style="2" customWidth="1"/>
    <col min="14" max="14" width="14.75" style="2" customWidth="1"/>
    <col min="15" max="15" width="12.25" style="2" customWidth="1"/>
    <col min="16" max="16" width="13" style="2" customWidth="1"/>
    <col min="17" max="17" width="13.625" style="2" customWidth="1"/>
    <col min="18" max="18" width="15.875" style="2" customWidth="1"/>
    <col min="19" max="29" width="14" style="2" customWidth="1"/>
    <col min="30" max="16384" width="9" style="2"/>
  </cols>
  <sheetData>
    <row r="1" spans="1:17" ht="13.5" customHeight="1" x14ac:dyDescent="0.2">
      <c r="A1" s="16" t="s">
        <v>183</v>
      </c>
    </row>
    <row r="2" spans="1:17" ht="13.5" customHeight="1" x14ac:dyDescent="0.2">
      <c r="A2" s="1" t="s">
        <v>120</v>
      </c>
    </row>
    <row r="4" spans="1:17" ht="13.5" customHeight="1" x14ac:dyDescent="0.2">
      <c r="A4" s="154" t="s">
        <v>29</v>
      </c>
      <c r="B4" s="154" t="s">
        <v>23</v>
      </c>
      <c r="C4" s="155" t="s">
        <v>36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7"/>
    </row>
    <row r="5" spans="1:17" ht="35.25" customHeight="1" x14ac:dyDescent="0.2">
      <c r="A5" s="154"/>
      <c r="B5" s="154"/>
      <c r="C5" s="57" t="s">
        <v>0</v>
      </c>
      <c r="D5" s="57" t="s">
        <v>1</v>
      </c>
      <c r="E5" s="57" t="s">
        <v>2</v>
      </c>
      <c r="F5" s="57" t="s">
        <v>3</v>
      </c>
      <c r="G5" s="57" t="s">
        <v>57</v>
      </c>
      <c r="H5" s="57" t="s">
        <v>4</v>
      </c>
      <c r="I5" s="57" t="s">
        <v>37</v>
      </c>
      <c r="J5" s="57" t="s">
        <v>5</v>
      </c>
      <c r="K5" s="57" t="s">
        <v>6</v>
      </c>
      <c r="L5" s="57" t="s">
        <v>7</v>
      </c>
      <c r="M5" s="57" t="s">
        <v>59</v>
      </c>
      <c r="N5" s="57" t="s">
        <v>8</v>
      </c>
      <c r="O5" s="57" t="s">
        <v>9</v>
      </c>
      <c r="P5" s="57" t="s">
        <v>60</v>
      </c>
      <c r="Q5" s="58" t="s">
        <v>10</v>
      </c>
    </row>
    <row r="6" spans="1:17" ht="13.5" customHeight="1" x14ac:dyDescent="0.2">
      <c r="A6" s="102" t="s">
        <v>11</v>
      </c>
      <c r="B6" s="103">
        <v>9595</v>
      </c>
      <c r="C6" s="103">
        <v>21</v>
      </c>
      <c r="D6" s="103">
        <v>6</v>
      </c>
      <c r="E6" s="103">
        <v>37</v>
      </c>
      <c r="F6" s="103">
        <v>4</v>
      </c>
      <c r="G6" s="103">
        <v>3</v>
      </c>
      <c r="H6" s="103">
        <v>6</v>
      </c>
      <c r="I6" s="103">
        <v>3</v>
      </c>
      <c r="J6" s="103">
        <v>11</v>
      </c>
      <c r="K6" s="103">
        <v>2433</v>
      </c>
      <c r="L6" s="103">
        <v>6905</v>
      </c>
      <c r="M6" s="103">
        <v>14</v>
      </c>
      <c r="N6" s="103">
        <v>47</v>
      </c>
      <c r="O6" s="103">
        <v>74</v>
      </c>
      <c r="P6" s="103">
        <v>11</v>
      </c>
      <c r="Q6" s="103">
        <v>8</v>
      </c>
    </row>
    <row r="7" spans="1:17" ht="13.5" customHeight="1" x14ac:dyDescent="0.2">
      <c r="A7" s="104" t="s">
        <v>12</v>
      </c>
      <c r="B7" s="105">
        <v>5326197070.6999807</v>
      </c>
      <c r="C7" s="105">
        <v>118079412.58000001</v>
      </c>
      <c r="D7" s="105">
        <v>250171678.44999999</v>
      </c>
      <c r="E7" s="105">
        <v>1365274002.27</v>
      </c>
      <c r="F7" s="105">
        <v>34460216.200000003</v>
      </c>
      <c r="G7" s="105">
        <v>3491967.08</v>
      </c>
      <c r="H7" s="105">
        <v>27760838.859999999</v>
      </c>
      <c r="I7" s="105">
        <v>18349253.960000001</v>
      </c>
      <c r="J7" s="105">
        <v>173207776.03999999</v>
      </c>
      <c r="K7" s="106">
        <v>229350496.65999994</v>
      </c>
      <c r="L7" s="105">
        <v>2444857429.8699999</v>
      </c>
      <c r="M7" s="105">
        <v>11623363.000000002</v>
      </c>
      <c r="N7" s="105">
        <v>39961704.56000001</v>
      </c>
      <c r="O7" s="105">
        <v>586372060.8900001</v>
      </c>
      <c r="P7" s="105">
        <v>1861797.9300000002</v>
      </c>
      <c r="Q7" s="105">
        <v>2891497.62</v>
      </c>
    </row>
    <row r="8" spans="1:17" ht="13.5" customHeight="1" x14ac:dyDescent="0.2">
      <c r="A8" s="107" t="s">
        <v>13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</row>
    <row r="9" spans="1:17" ht="13.5" customHeight="1" x14ac:dyDescent="0.2">
      <c r="A9" s="109" t="s">
        <v>15</v>
      </c>
      <c r="B9" s="108">
        <v>1416008792.0100019</v>
      </c>
      <c r="C9" s="108">
        <v>57151647.70000001</v>
      </c>
      <c r="D9" s="108">
        <v>69020862.949999988</v>
      </c>
      <c r="E9" s="108">
        <v>499979599.50999993</v>
      </c>
      <c r="F9" s="108">
        <v>12966458.890000001</v>
      </c>
      <c r="G9" s="108">
        <v>397566.1</v>
      </c>
      <c r="H9" s="108">
        <v>12561339.42</v>
      </c>
      <c r="I9" s="108">
        <v>8082980.4399999995</v>
      </c>
      <c r="J9" s="108">
        <v>67282296.480000019</v>
      </c>
      <c r="K9" s="108">
        <v>28814600.76000002</v>
      </c>
      <c r="L9" s="108">
        <v>414429920.97999901</v>
      </c>
      <c r="M9" s="108">
        <v>1206976.6600000001</v>
      </c>
      <c r="N9" s="108">
        <v>17247008.439999998</v>
      </c>
      <c r="O9" s="108">
        <v>216481607.78999999</v>
      </c>
      <c r="P9" s="108">
        <v>928780.02999999991</v>
      </c>
      <c r="Q9" s="108">
        <v>1507515.1400000001</v>
      </c>
    </row>
    <row r="10" spans="1:17" ht="13.5" customHeight="1" x14ac:dyDescent="0.2">
      <c r="A10" s="109" t="s">
        <v>16</v>
      </c>
      <c r="B10" s="108">
        <v>505771479.02999985</v>
      </c>
      <c r="C10" s="108">
        <v>19589113.600000001</v>
      </c>
      <c r="D10" s="108">
        <v>24013522.859999999</v>
      </c>
      <c r="E10" s="108">
        <v>175054538.45999995</v>
      </c>
      <c r="F10" s="108">
        <v>4426841.21</v>
      </c>
      <c r="G10" s="108">
        <v>138622.32</v>
      </c>
      <c r="H10" s="108">
        <v>4325939.7699999996</v>
      </c>
      <c r="I10" s="108">
        <v>2700089.1900000004</v>
      </c>
      <c r="J10" s="108">
        <v>23014111.150000002</v>
      </c>
      <c r="K10" s="108">
        <v>24029511.920000002</v>
      </c>
      <c r="L10" s="108">
        <v>143891106.26999962</v>
      </c>
      <c r="M10" s="108">
        <v>425838.41000000009</v>
      </c>
      <c r="N10" s="108">
        <v>5963643.3199999984</v>
      </c>
      <c r="O10" s="108">
        <v>74502757.280000046</v>
      </c>
      <c r="P10" s="108">
        <v>319966.24</v>
      </c>
      <c r="Q10" s="108">
        <v>515579.88</v>
      </c>
    </row>
    <row r="11" spans="1:17" ht="13.5" customHeight="1" x14ac:dyDescent="0.2">
      <c r="A11" s="109" t="s">
        <v>17</v>
      </c>
      <c r="B11" s="108">
        <v>1263129991.4899983</v>
      </c>
      <c r="C11" s="108">
        <v>6746518.7500000009</v>
      </c>
      <c r="D11" s="108">
        <v>27695461.199999999</v>
      </c>
      <c r="E11" s="108">
        <v>136883457.16999996</v>
      </c>
      <c r="F11" s="108">
        <v>2020673.4</v>
      </c>
      <c r="G11" s="108">
        <v>2711123.27</v>
      </c>
      <c r="H11" s="108">
        <v>5139986.28</v>
      </c>
      <c r="I11" s="108">
        <v>1455812.54</v>
      </c>
      <c r="J11" s="108">
        <v>14268958.25</v>
      </c>
      <c r="K11" s="108">
        <v>83934506.979999989</v>
      </c>
      <c r="L11" s="108">
        <v>940243634.08000052</v>
      </c>
      <c r="M11" s="108">
        <v>4433001.2700000005</v>
      </c>
      <c r="N11" s="108">
        <v>3442593.3299999996</v>
      </c>
      <c r="O11" s="108">
        <v>33686370.480000012</v>
      </c>
      <c r="P11" s="108">
        <v>42346.229999999996</v>
      </c>
      <c r="Q11" s="108">
        <v>40144.36</v>
      </c>
    </row>
    <row r="12" spans="1:17" ht="13.5" customHeight="1" x14ac:dyDescent="0.2">
      <c r="A12" s="109" t="s">
        <v>18</v>
      </c>
      <c r="B12" s="108">
        <v>517772308.13000011</v>
      </c>
      <c r="C12" s="108">
        <v>5000004.040000001</v>
      </c>
      <c r="D12" s="108">
        <v>88956164.5</v>
      </c>
      <c r="E12" s="108">
        <v>147202538.53000003</v>
      </c>
      <c r="F12" s="108">
        <v>6177332.5700000003</v>
      </c>
      <c r="G12" s="108">
        <v>4261.1099999999997</v>
      </c>
      <c r="H12" s="108">
        <v>532785.86</v>
      </c>
      <c r="I12" s="108">
        <v>2074844.3499999999</v>
      </c>
      <c r="J12" s="108">
        <v>9262406.7400000002</v>
      </c>
      <c r="K12" s="108">
        <v>22360743.799999997</v>
      </c>
      <c r="L12" s="108">
        <v>180043769.4600001</v>
      </c>
      <c r="M12" s="108">
        <v>178267.5</v>
      </c>
      <c r="N12" s="108">
        <v>2794779.5700000003</v>
      </c>
      <c r="O12" s="108">
        <v>52061057.429999985</v>
      </c>
      <c r="P12" s="108">
        <v>44049.77</v>
      </c>
      <c r="Q12" s="108">
        <v>58225.36</v>
      </c>
    </row>
    <row r="13" spans="1:17" ht="13.5" customHeight="1" x14ac:dyDescent="0.2">
      <c r="A13" s="109" t="s">
        <v>28</v>
      </c>
      <c r="B13" s="108">
        <v>30908522.600000028</v>
      </c>
      <c r="C13" s="108">
        <v>1254791.1700000002</v>
      </c>
      <c r="D13" s="108">
        <v>2398774.5300000003</v>
      </c>
      <c r="E13" s="108">
        <v>17163101.030000001</v>
      </c>
      <c r="F13" s="108">
        <v>334499.77</v>
      </c>
      <c r="G13" s="110" t="s">
        <v>58</v>
      </c>
      <c r="H13" s="108">
        <v>188684.83</v>
      </c>
      <c r="I13" s="108">
        <v>198665.25</v>
      </c>
      <c r="J13" s="108">
        <v>2864016.9299999997</v>
      </c>
      <c r="K13" s="108">
        <v>12945</v>
      </c>
      <c r="L13" s="108">
        <v>2532777.1700000004</v>
      </c>
      <c r="M13" s="110" t="s">
        <v>58</v>
      </c>
      <c r="N13" s="108">
        <v>285100.14</v>
      </c>
      <c r="O13" s="108">
        <v>3560156.5999999996</v>
      </c>
      <c r="P13" s="110" t="s">
        <v>58</v>
      </c>
      <c r="Q13" s="110" t="s">
        <v>58</v>
      </c>
    </row>
    <row r="14" spans="1:17" ht="13.5" customHeight="1" x14ac:dyDescent="0.2">
      <c r="A14" s="109" t="s">
        <v>19</v>
      </c>
      <c r="B14" s="108">
        <v>195424814.11999986</v>
      </c>
      <c r="C14" s="108">
        <v>5019774.790000001</v>
      </c>
      <c r="D14" s="108">
        <v>11391956.760000002</v>
      </c>
      <c r="E14" s="108">
        <v>56073477.410000011</v>
      </c>
      <c r="F14" s="108">
        <v>2591642.89</v>
      </c>
      <c r="G14" s="108">
        <v>4261</v>
      </c>
      <c r="H14" s="108">
        <v>852112.02</v>
      </c>
      <c r="I14" s="108">
        <v>696174.19</v>
      </c>
      <c r="J14" s="108">
        <v>5468530.96</v>
      </c>
      <c r="K14" s="108">
        <v>8237266.5500000007</v>
      </c>
      <c r="L14" s="108">
        <v>85013703.330000028</v>
      </c>
      <c r="M14" s="108">
        <v>86863.99</v>
      </c>
      <c r="N14" s="108">
        <v>830562.69000000006</v>
      </c>
      <c r="O14" s="108">
        <v>18198480.480000004</v>
      </c>
      <c r="P14" s="108">
        <v>58168.82</v>
      </c>
      <c r="Q14" s="108">
        <v>149746.91999999998</v>
      </c>
    </row>
    <row r="15" spans="1:17" ht="13.5" customHeight="1" x14ac:dyDescent="0.2">
      <c r="A15" s="109" t="s">
        <v>20</v>
      </c>
      <c r="B15" s="108">
        <v>80870561.160000026</v>
      </c>
      <c r="C15" s="108">
        <v>3704335.0900000008</v>
      </c>
      <c r="D15" s="108">
        <v>3065137.5200000009</v>
      </c>
      <c r="E15" s="108">
        <v>24833533.019999988</v>
      </c>
      <c r="F15" s="108">
        <v>865004.71</v>
      </c>
      <c r="G15" s="110" t="s">
        <v>58</v>
      </c>
      <c r="H15" s="108">
        <v>579245.26</v>
      </c>
      <c r="I15" s="108">
        <v>552907.34000000008</v>
      </c>
      <c r="J15" s="108">
        <v>3848608.8200000003</v>
      </c>
      <c r="K15" s="108">
        <v>3349780.3000000003</v>
      </c>
      <c r="L15" s="108">
        <v>22245488.240000028</v>
      </c>
      <c r="M15" s="108">
        <v>11760.56</v>
      </c>
      <c r="N15" s="108">
        <v>1045595.8799999999</v>
      </c>
      <c r="O15" s="108">
        <v>15565975.470000003</v>
      </c>
      <c r="P15" s="108">
        <v>55615.380000000005</v>
      </c>
      <c r="Q15" s="108">
        <v>47934.86</v>
      </c>
    </row>
    <row r="16" spans="1:17" ht="13.5" customHeight="1" x14ac:dyDescent="0.2">
      <c r="A16" s="109" t="s">
        <v>31</v>
      </c>
      <c r="B16" s="108">
        <v>75736303.950000018</v>
      </c>
      <c r="C16" s="108">
        <v>2405173.0799999996</v>
      </c>
      <c r="D16" s="108">
        <v>4349852.4000000004</v>
      </c>
      <c r="E16" s="108">
        <v>22190009.599999994</v>
      </c>
      <c r="F16" s="108">
        <v>608722.04999999993</v>
      </c>
      <c r="G16" s="108">
        <v>4992.28</v>
      </c>
      <c r="H16" s="108">
        <v>435160.02</v>
      </c>
      <c r="I16" s="108">
        <v>515655.02</v>
      </c>
      <c r="J16" s="108">
        <v>2118972.0299999998</v>
      </c>
      <c r="K16" s="108">
        <v>3727269.32</v>
      </c>
      <c r="L16" s="108">
        <v>29616630.680000048</v>
      </c>
      <c r="M16" s="108">
        <v>36238.149999999994</v>
      </c>
      <c r="N16" s="108">
        <v>473992.30000000005</v>
      </c>
      <c r="O16" s="108">
        <v>8823031.0899999999</v>
      </c>
      <c r="P16" s="108">
        <v>25655.02</v>
      </c>
      <c r="Q16" s="108">
        <v>33617.08</v>
      </c>
    </row>
    <row r="17" spans="1:17" ht="13.5" customHeight="1" x14ac:dyDescent="0.2">
      <c r="A17" s="104" t="s">
        <v>14</v>
      </c>
      <c r="B17" s="105">
        <v>5580785715.0100069</v>
      </c>
      <c r="C17" s="105">
        <v>128911540.96000002</v>
      </c>
      <c r="D17" s="105">
        <v>253691938.02000004</v>
      </c>
      <c r="E17" s="105">
        <v>1387795814.7099998</v>
      </c>
      <c r="F17" s="105">
        <v>30538504.23</v>
      </c>
      <c r="G17" s="105">
        <v>3474923.87</v>
      </c>
      <c r="H17" s="105">
        <v>28551044.119999997</v>
      </c>
      <c r="I17" s="105">
        <v>28058649.369999997</v>
      </c>
      <c r="J17" s="105">
        <v>165626774.99000001</v>
      </c>
      <c r="K17" s="105">
        <v>273694137.16999996</v>
      </c>
      <c r="L17" s="105">
        <v>2591360255.8700042</v>
      </c>
      <c r="M17" s="105">
        <v>9949576.4100000001</v>
      </c>
      <c r="N17" s="105">
        <v>40230992.460000008</v>
      </c>
      <c r="O17" s="105">
        <v>614159492.53999996</v>
      </c>
      <c r="P17" s="105">
        <v>1914873.06</v>
      </c>
      <c r="Q17" s="105">
        <v>3733269.8899999997</v>
      </c>
    </row>
    <row r="18" spans="1:17" ht="13.5" customHeight="1" x14ac:dyDescent="0.2">
      <c r="A18" s="109" t="s">
        <v>34</v>
      </c>
      <c r="B18" s="108">
        <v>3927217429.340003</v>
      </c>
      <c r="C18" s="108">
        <v>108952406.03999998</v>
      </c>
      <c r="D18" s="108">
        <v>238291345.51999998</v>
      </c>
      <c r="E18" s="108">
        <v>985271162.23999965</v>
      </c>
      <c r="F18" s="108">
        <v>23772799.93</v>
      </c>
      <c r="G18" s="108">
        <v>3139023.95</v>
      </c>
      <c r="H18" s="108">
        <v>25096983.68</v>
      </c>
      <c r="I18" s="108">
        <v>26507427.93</v>
      </c>
      <c r="J18" s="108">
        <v>122523774.85999997</v>
      </c>
      <c r="K18" s="108">
        <v>180640949.12999997</v>
      </c>
      <c r="L18" s="108">
        <v>1706088632.6100004</v>
      </c>
      <c r="M18" s="108">
        <v>1384933.72</v>
      </c>
      <c r="N18" s="108">
        <v>30856341.789999995</v>
      </c>
      <c r="O18" s="108">
        <v>457920446.08000004</v>
      </c>
      <c r="P18" s="108">
        <v>1119941.19</v>
      </c>
      <c r="Q18" s="108">
        <v>3256786.5500000003</v>
      </c>
    </row>
    <row r="19" spans="1:17" ht="13.5" customHeight="1" x14ac:dyDescent="0.2">
      <c r="A19" s="109" t="s">
        <v>21</v>
      </c>
      <c r="B19" s="108">
        <v>970962544.93999779</v>
      </c>
      <c r="C19" s="108">
        <v>3972675.2600000002</v>
      </c>
      <c r="D19" s="108">
        <v>10485358.449999999</v>
      </c>
      <c r="E19" s="108">
        <v>21982237.650000002</v>
      </c>
      <c r="F19" s="108">
        <v>3194895.89</v>
      </c>
      <c r="G19" s="108">
        <v>158563.63</v>
      </c>
      <c r="H19" s="108">
        <v>1756066.06</v>
      </c>
      <c r="I19" s="108">
        <v>472405.4</v>
      </c>
      <c r="J19" s="108">
        <v>4126926.6400000006</v>
      </c>
      <c r="K19" s="108">
        <v>85338300.249999955</v>
      </c>
      <c r="L19" s="108">
        <v>731870540.18999934</v>
      </c>
      <c r="M19" s="108">
        <v>8145199.3099999996</v>
      </c>
      <c r="N19" s="108">
        <v>2839567.76</v>
      </c>
      <c r="O19" s="108">
        <v>90646444.459999979</v>
      </c>
      <c r="P19" s="108">
        <v>69953</v>
      </c>
      <c r="Q19" s="108">
        <v>96473.35</v>
      </c>
    </row>
    <row r="20" spans="1:17" ht="13.5" customHeight="1" x14ac:dyDescent="0.2">
      <c r="A20" s="111" t="s">
        <v>22</v>
      </c>
      <c r="B20" s="108">
        <v>422599074.03999954</v>
      </c>
      <c r="C20" s="108">
        <v>200597.81</v>
      </c>
      <c r="D20" s="108">
        <v>8018528.9100000001</v>
      </c>
      <c r="E20" s="108">
        <v>5332097.7700000014</v>
      </c>
      <c r="F20" s="110" t="s">
        <v>58</v>
      </c>
      <c r="G20" s="108">
        <v>46815.65</v>
      </c>
      <c r="H20" s="108">
        <v>1018548.72</v>
      </c>
      <c r="I20" s="110" t="s">
        <v>58</v>
      </c>
      <c r="J20" s="108">
        <v>1822666.79</v>
      </c>
      <c r="K20" s="108">
        <v>35394488.279999986</v>
      </c>
      <c r="L20" s="108">
        <v>359510371.27999955</v>
      </c>
      <c r="M20" s="108">
        <v>4499958.8999999994</v>
      </c>
      <c r="N20" s="108">
        <v>963797.28</v>
      </c>
      <c r="O20" s="108">
        <v>5791202.6500000004</v>
      </c>
      <c r="P20" s="110" t="s">
        <v>58</v>
      </c>
      <c r="Q20" s="110" t="s">
        <v>58</v>
      </c>
    </row>
    <row r="21" spans="1:17" ht="13.5" customHeight="1" x14ac:dyDescent="0.2">
      <c r="A21" s="112" t="s">
        <v>35</v>
      </c>
      <c r="B21" s="113">
        <v>73822931.200000003</v>
      </c>
      <c r="C21" s="113">
        <v>362839.7</v>
      </c>
      <c r="D21" s="114" t="s">
        <v>58</v>
      </c>
      <c r="E21" s="113">
        <v>70325703.340000004</v>
      </c>
      <c r="F21" s="113">
        <v>952300</v>
      </c>
      <c r="G21" s="113">
        <v>128449.96</v>
      </c>
      <c r="H21" s="113">
        <v>-260.37</v>
      </c>
      <c r="I21" s="114">
        <v>91139.32</v>
      </c>
      <c r="J21" s="113">
        <v>17234.129999999997</v>
      </c>
      <c r="K21" s="113">
        <v>113602</v>
      </c>
      <c r="L21" s="113">
        <v>352479.10999999993</v>
      </c>
      <c r="M21" s="114" t="s">
        <v>58</v>
      </c>
      <c r="N21" s="113">
        <v>1101448.8899999999</v>
      </c>
      <c r="O21" s="113">
        <v>214359.17</v>
      </c>
      <c r="P21" s="113">
        <v>149635.95000000001</v>
      </c>
      <c r="Q21" s="114" t="s">
        <v>58</v>
      </c>
    </row>
    <row r="22" spans="1:17" ht="13.5" customHeight="1" x14ac:dyDescent="0.2">
      <c r="A22" s="112" t="s">
        <v>33</v>
      </c>
      <c r="B22" s="113">
        <v>608782809.53000033</v>
      </c>
      <c r="C22" s="113">
        <v>15623619.960000003</v>
      </c>
      <c r="D22" s="113">
        <v>4915234.05</v>
      </c>
      <c r="E22" s="113">
        <v>310216711.4799999</v>
      </c>
      <c r="F22" s="113">
        <v>2618508.41</v>
      </c>
      <c r="G22" s="113">
        <v>48886.33</v>
      </c>
      <c r="H22" s="113">
        <v>1698254.75</v>
      </c>
      <c r="I22" s="114">
        <v>987676.72</v>
      </c>
      <c r="J22" s="113">
        <v>38958839.359999999</v>
      </c>
      <c r="K22" s="113">
        <v>7601285.79</v>
      </c>
      <c r="L22" s="113">
        <v>153048603.95999986</v>
      </c>
      <c r="M22" s="113">
        <v>419443.38000000006</v>
      </c>
      <c r="N22" s="113">
        <v>5433634.0199999996</v>
      </c>
      <c r="O22" s="113">
        <v>65378242.829999976</v>
      </c>
      <c r="P22" s="113">
        <v>575342.91999999993</v>
      </c>
      <c r="Q22" s="114">
        <v>380009.99000000005</v>
      </c>
    </row>
    <row r="23" spans="1:17" ht="13.5" customHeight="1" x14ac:dyDescent="0.2">
      <c r="A23" s="115" t="s">
        <v>27</v>
      </c>
      <c r="B23" s="116">
        <v>254588644.31000048</v>
      </c>
      <c r="C23" s="116">
        <v>10832128.380000003</v>
      </c>
      <c r="D23" s="116">
        <v>3520259.57</v>
      </c>
      <c r="E23" s="116">
        <v>22521812.440000009</v>
      </c>
      <c r="F23" s="116">
        <v>-3921711.97</v>
      </c>
      <c r="G23" s="116">
        <v>-17043.21</v>
      </c>
      <c r="H23" s="116">
        <v>790205.26</v>
      </c>
      <c r="I23" s="116">
        <v>9709395.4100000001</v>
      </c>
      <c r="J23" s="116">
        <v>-7581001.0499999989</v>
      </c>
      <c r="K23" s="116">
        <v>44343640.509999961</v>
      </c>
      <c r="L23" s="116">
        <v>146502825.99999991</v>
      </c>
      <c r="M23" s="116">
        <v>-1673786.59</v>
      </c>
      <c r="N23" s="116">
        <v>269287.90000000008</v>
      </c>
      <c r="O23" s="116">
        <v>27787431.649999995</v>
      </c>
      <c r="P23" s="116">
        <v>53075.130000000012</v>
      </c>
      <c r="Q23" s="116">
        <v>841772.27000000014</v>
      </c>
    </row>
  </sheetData>
  <mergeCells count="3">
    <mergeCell ref="A4:A5"/>
    <mergeCell ref="B4:B5"/>
    <mergeCell ref="C4:Q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U38"/>
  <sheetViews>
    <sheetView zoomScaleNormal="100" workbookViewId="0">
      <selection activeCell="A3" sqref="A3"/>
    </sheetView>
  </sheetViews>
  <sheetFormatPr defaultRowHeight="13.5" customHeight="1" x14ac:dyDescent="0.2"/>
  <cols>
    <col min="1" max="1" width="38.25" style="2" customWidth="1"/>
    <col min="2" max="5" width="14" style="2" customWidth="1"/>
    <col min="6" max="6" width="11.875" style="2" customWidth="1"/>
    <col min="7" max="7" width="12" style="2" customWidth="1"/>
    <col min="8" max="9" width="14.5" style="2" customWidth="1"/>
    <col min="10" max="10" width="12.875" style="2" customWidth="1"/>
    <col min="11" max="17" width="12" style="2" customWidth="1"/>
    <col min="18" max="18" width="6" style="2" customWidth="1"/>
    <col min="19" max="19" width="13.875" style="2" customWidth="1"/>
    <col min="20" max="20" width="12.625" style="2" customWidth="1"/>
    <col min="21" max="22" width="15.875" style="2" customWidth="1"/>
    <col min="23" max="48" width="14" style="2" customWidth="1"/>
    <col min="49" max="16384" width="9" style="2"/>
  </cols>
  <sheetData>
    <row r="1" spans="1:21" ht="13.5" customHeight="1" x14ac:dyDescent="0.2">
      <c r="A1" s="16" t="s">
        <v>183</v>
      </c>
    </row>
    <row r="2" spans="1:21" ht="12.75" customHeight="1" x14ac:dyDescent="0.2">
      <c r="A2" s="6" t="s">
        <v>121</v>
      </c>
      <c r="B2" s="3"/>
      <c r="S2" s="3"/>
      <c r="T2" s="3"/>
      <c r="U2" s="3"/>
    </row>
    <row r="3" spans="1:21" ht="13.5" customHeight="1" x14ac:dyDescent="0.2">
      <c r="A3" s="7"/>
      <c r="S3" s="3"/>
      <c r="T3" s="3"/>
      <c r="U3" s="3"/>
    </row>
    <row r="4" spans="1:21" ht="13.5" customHeight="1" x14ac:dyDescent="0.2">
      <c r="A4" s="154" t="s">
        <v>29</v>
      </c>
      <c r="B4" s="154" t="s">
        <v>30</v>
      </c>
      <c r="C4" s="154" t="s">
        <v>49</v>
      </c>
      <c r="D4" s="158"/>
      <c r="E4" s="158"/>
      <c r="F4" s="158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21" ht="47.25" customHeight="1" x14ac:dyDescent="0.2">
      <c r="A5" s="158"/>
      <c r="B5" s="154"/>
      <c r="C5" s="58" t="s">
        <v>24</v>
      </c>
      <c r="D5" s="58" t="s">
        <v>25</v>
      </c>
      <c r="E5" s="58" t="s">
        <v>26</v>
      </c>
      <c r="F5" s="58" t="s">
        <v>48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21" ht="13.5" customHeight="1" x14ac:dyDescent="0.2">
      <c r="A6" s="102" t="s">
        <v>11</v>
      </c>
      <c r="B6" s="117">
        <v>148</v>
      </c>
      <c r="C6" s="117">
        <v>86</v>
      </c>
      <c r="D6" s="117">
        <v>16</v>
      </c>
      <c r="E6" s="117">
        <v>13</v>
      </c>
      <c r="F6" s="117">
        <v>33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21" ht="13.5" customHeight="1" x14ac:dyDescent="0.2">
      <c r="A7" s="104" t="s">
        <v>12</v>
      </c>
      <c r="B7" s="105">
        <v>2527474073.7500005</v>
      </c>
      <c r="C7" s="105">
        <v>1223571760.0100002</v>
      </c>
      <c r="D7" s="105">
        <v>1155266463.1299999</v>
      </c>
      <c r="E7" s="105">
        <v>23950580.520000003</v>
      </c>
      <c r="F7" s="105">
        <v>124685270.09000002</v>
      </c>
      <c r="G7" s="15"/>
      <c r="H7" s="15"/>
      <c r="I7" s="15"/>
      <c r="J7" s="5"/>
      <c r="K7" s="5"/>
      <c r="L7" s="5"/>
      <c r="M7" s="5"/>
      <c r="N7" s="5"/>
      <c r="O7" s="5"/>
      <c r="P7" s="5"/>
      <c r="Q7" s="5"/>
    </row>
    <row r="8" spans="1:21" ht="13.5" customHeight="1" x14ac:dyDescent="0.2">
      <c r="A8" s="107" t="s">
        <v>13</v>
      </c>
      <c r="B8" s="105"/>
      <c r="C8" s="105"/>
      <c r="D8" s="105"/>
      <c r="E8" s="105"/>
      <c r="F8" s="105"/>
      <c r="G8" s="15"/>
      <c r="H8" s="15"/>
      <c r="I8" s="15"/>
      <c r="K8" s="5"/>
      <c r="L8" s="5"/>
      <c r="M8" s="5"/>
      <c r="N8" s="5"/>
    </row>
    <row r="9" spans="1:21" ht="13.5" customHeight="1" x14ac:dyDescent="0.2">
      <c r="A9" s="109" t="s">
        <v>15</v>
      </c>
      <c r="B9" s="108">
        <v>937918620.85000014</v>
      </c>
      <c r="C9" s="108">
        <v>467430727.05000037</v>
      </c>
      <c r="D9" s="108">
        <v>421287801.71999991</v>
      </c>
      <c r="E9" s="108">
        <v>11860542.42</v>
      </c>
      <c r="F9" s="108">
        <v>37339549.660000004</v>
      </c>
      <c r="G9" s="15"/>
      <c r="H9" s="15"/>
      <c r="I9" s="15"/>
      <c r="K9" s="5"/>
      <c r="L9" s="5"/>
      <c r="M9" s="5"/>
      <c r="N9" s="5"/>
    </row>
    <row r="10" spans="1:21" ht="13.5" customHeight="1" x14ac:dyDescent="0.2">
      <c r="A10" s="109" t="s">
        <v>16</v>
      </c>
      <c r="B10" s="108">
        <v>325129141.00999999</v>
      </c>
      <c r="C10" s="108">
        <v>161205614.53000003</v>
      </c>
      <c r="D10" s="108">
        <v>146899454.33000001</v>
      </c>
      <c r="E10" s="108">
        <v>4059079.25</v>
      </c>
      <c r="F10" s="108">
        <v>12964992.9</v>
      </c>
      <c r="G10" s="15"/>
      <c r="H10" s="15"/>
      <c r="I10" s="15"/>
      <c r="K10" s="5"/>
      <c r="L10" s="5"/>
      <c r="M10" s="5"/>
      <c r="N10" s="5"/>
    </row>
    <row r="11" spans="1:21" ht="13.5" customHeight="1" x14ac:dyDescent="0.2">
      <c r="A11" s="109" t="s">
        <v>17</v>
      </c>
      <c r="B11" s="108">
        <v>229091433.23999998</v>
      </c>
      <c r="C11" s="108">
        <v>109027134.55</v>
      </c>
      <c r="D11" s="108">
        <v>117844704.28</v>
      </c>
      <c r="E11" s="108">
        <v>876424.28</v>
      </c>
      <c r="F11" s="108">
        <v>1343170.13</v>
      </c>
      <c r="G11" s="15"/>
      <c r="H11" s="15"/>
      <c r="I11" s="15"/>
      <c r="K11" s="5"/>
      <c r="L11" s="5"/>
      <c r="M11" s="5"/>
      <c r="N11" s="5"/>
    </row>
    <row r="12" spans="1:21" ht="13.5" customHeight="1" x14ac:dyDescent="0.2">
      <c r="A12" s="109" t="s">
        <v>18</v>
      </c>
      <c r="B12" s="108">
        <v>309323029.38999993</v>
      </c>
      <c r="C12" s="108">
        <v>165028018.41999999</v>
      </c>
      <c r="D12" s="108">
        <v>143434296.02999997</v>
      </c>
      <c r="E12" s="108">
        <v>256026.88</v>
      </c>
      <c r="F12" s="108">
        <v>604688.06000000006</v>
      </c>
      <c r="G12" s="15"/>
      <c r="H12" s="15"/>
      <c r="I12" s="15"/>
      <c r="K12" s="5"/>
      <c r="L12" s="5"/>
      <c r="M12" s="5"/>
      <c r="N12" s="5"/>
    </row>
    <row r="13" spans="1:21" ht="13.5" customHeight="1" x14ac:dyDescent="0.2">
      <c r="A13" s="109" t="s">
        <v>28</v>
      </c>
      <c r="B13" s="108">
        <v>29531268.169999994</v>
      </c>
      <c r="C13" s="108">
        <v>12278322.419999994</v>
      </c>
      <c r="D13" s="108">
        <v>17242801.710000001</v>
      </c>
      <c r="E13" s="108">
        <v>10144.040000000001</v>
      </c>
      <c r="F13" s="110" t="s">
        <v>58</v>
      </c>
      <c r="G13" s="15"/>
      <c r="H13" s="15"/>
      <c r="I13" s="15"/>
      <c r="K13" s="5"/>
      <c r="L13" s="5"/>
      <c r="M13" s="5"/>
      <c r="N13" s="5"/>
    </row>
    <row r="14" spans="1:21" ht="13.5" customHeight="1" x14ac:dyDescent="0.2">
      <c r="A14" s="109" t="s">
        <v>19</v>
      </c>
      <c r="B14" s="108">
        <v>83526689.750000015</v>
      </c>
      <c r="C14" s="108">
        <v>41635092.290000014</v>
      </c>
      <c r="D14" s="108">
        <v>34938906.520000003</v>
      </c>
      <c r="E14" s="108">
        <v>815693.13000000012</v>
      </c>
      <c r="F14" s="108">
        <v>6136997.8099999996</v>
      </c>
      <c r="G14" s="15"/>
      <c r="H14" s="15"/>
      <c r="I14" s="15"/>
      <c r="K14" s="5"/>
      <c r="L14" s="5"/>
      <c r="M14" s="5"/>
      <c r="N14" s="5"/>
    </row>
    <row r="15" spans="1:21" ht="13.5" customHeight="1" x14ac:dyDescent="0.2">
      <c r="A15" s="109" t="s">
        <v>32</v>
      </c>
      <c r="B15" s="108">
        <v>32126042.819999993</v>
      </c>
      <c r="C15" s="108">
        <v>11447313.239999995</v>
      </c>
      <c r="D15" s="108">
        <v>11158278.939999999</v>
      </c>
      <c r="E15" s="108">
        <v>928662.6</v>
      </c>
      <c r="F15" s="108">
        <v>8591788.0399999991</v>
      </c>
      <c r="G15" s="15"/>
      <c r="H15" s="15"/>
      <c r="I15" s="15"/>
      <c r="K15" s="5"/>
      <c r="L15" s="5"/>
      <c r="M15" s="5"/>
      <c r="N15" s="5"/>
    </row>
    <row r="16" spans="1:21" ht="13.5" customHeight="1" x14ac:dyDescent="0.2">
      <c r="A16" s="109" t="s">
        <v>20</v>
      </c>
      <c r="B16" s="108">
        <v>55000904.829999998</v>
      </c>
      <c r="C16" s="108">
        <v>25702717.739999991</v>
      </c>
      <c r="D16" s="108">
        <v>20977238.560000002</v>
      </c>
      <c r="E16" s="108">
        <v>945065.07</v>
      </c>
      <c r="F16" s="108">
        <v>7375883.46</v>
      </c>
      <c r="G16" s="15"/>
      <c r="H16" s="15"/>
      <c r="I16" s="15"/>
      <c r="K16" s="5"/>
      <c r="L16" s="5"/>
      <c r="M16" s="5"/>
      <c r="N16" s="5"/>
    </row>
    <row r="17" spans="1:14" ht="13.5" customHeight="1" x14ac:dyDescent="0.2">
      <c r="A17" s="109" t="s">
        <v>31</v>
      </c>
      <c r="B17" s="108">
        <v>39822839.029999994</v>
      </c>
      <c r="C17" s="108">
        <v>19526815.809999995</v>
      </c>
      <c r="D17" s="108">
        <v>17316713.300000001</v>
      </c>
      <c r="E17" s="108">
        <v>399113.94000000006</v>
      </c>
      <c r="F17" s="108">
        <v>2580195.98</v>
      </c>
      <c r="G17" s="15"/>
      <c r="H17" s="15"/>
      <c r="I17" s="15"/>
      <c r="K17" s="5"/>
      <c r="L17" s="5"/>
      <c r="M17" s="5"/>
      <c r="N17" s="5"/>
    </row>
    <row r="18" spans="1:14" ht="13.5" customHeight="1" x14ac:dyDescent="0.2">
      <c r="A18" s="109" t="s">
        <v>38</v>
      </c>
      <c r="B18" s="108">
        <v>74088365.730000004</v>
      </c>
      <c r="C18" s="108">
        <v>28627804.700000003</v>
      </c>
      <c r="D18" s="108">
        <v>15855882.620000001</v>
      </c>
      <c r="E18" s="108">
        <v>1624529.55</v>
      </c>
      <c r="F18" s="108">
        <v>27980148.859999999</v>
      </c>
      <c r="G18" s="15"/>
      <c r="H18" s="15"/>
      <c r="I18" s="15"/>
      <c r="K18" s="5"/>
      <c r="L18" s="5"/>
      <c r="M18" s="5"/>
      <c r="N18" s="5"/>
    </row>
    <row r="19" spans="1:14" ht="13.5" customHeight="1" x14ac:dyDescent="0.2">
      <c r="A19" s="104" t="s">
        <v>14</v>
      </c>
      <c r="B19" s="105">
        <v>2568189141.0999999</v>
      </c>
      <c r="C19" s="105">
        <v>1239792519.9600005</v>
      </c>
      <c r="D19" s="105">
        <v>1174686891.1699998</v>
      </c>
      <c r="E19" s="105">
        <v>24559646</v>
      </c>
      <c r="F19" s="105">
        <v>129150083.97</v>
      </c>
      <c r="G19" s="15"/>
      <c r="H19" s="15"/>
      <c r="I19" s="15"/>
      <c r="K19" s="5"/>
      <c r="L19" s="5"/>
      <c r="M19" s="5"/>
      <c r="N19" s="5"/>
    </row>
    <row r="20" spans="1:14" ht="13.5" customHeight="1" x14ac:dyDescent="0.2">
      <c r="A20" s="109" t="s">
        <v>34</v>
      </c>
      <c r="B20" s="108">
        <v>2022617617.47</v>
      </c>
      <c r="C20" s="108">
        <v>1077884700.3500001</v>
      </c>
      <c r="D20" s="108">
        <v>877674914.66999984</v>
      </c>
      <c r="E20" s="108">
        <v>20524547.400000002</v>
      </c>
      <c r="F20" s="108">
        <v>46533455.050000004</v>
      </c>
      <c r="G20" s="15"/>
      <c r="H20" s="15"/>
      <c r="I20" s="15"/>
      <c r="K20" s="5"/>
      <c r="L20" s="5"/>
      <c r="M20" s="5"/>
      <c r="N20" s="5"/>
    </row>
    <row r="21" spans="1:14" ht="13.5" customHeight="1" x14ac:dyDescent="0.2">
      <c r="A21" s="109" t="s">
        <v>39</v>
      </c>
      <c r="B21" s="108"/>
      <c r="C21" s="108"/>
      <c r="D21" s="108"/>
      <c r="E21" s="108"/>
      <c r="F21" s="108"/>
      <c r="G21" s="15"/>
      <c r="H21" s="15"/>
      <c r="I21" s="15"/>
      <c r="K21" s="5"/>
      <c r="L21" s="5"/>
      <c r="M21" s="5"/>
      <c r="N21" s="5"/>
    </row>
    <row r="22" spans="1:14" ht="13.5" customHeight="1" x14ac:dyDescent="0.2">
      <c r="A22" s="111" t="s">
        <v>75</v>
      </c>
      <c r="B22" s="108">
        <v>305136819.16999996</v>
      </c>
      <c r="C22" s="108">
        <v>134896963.16999999</v>
      </c>
      <c r="D22" s="108">
        <v>170239856</v>
      </c>
      <c r="E22" s="110" t="s">
        <v>58</v>
      </c>
      <c r="F22" s="110" t="s">
        <v>58</v>
      </c>
      <c r="G22" s="15"/>
      <c r="H22" s="15"/>
      <c r="I22" s="15"/>
      <c r="K22" s="5"/>
      <c r="L22" s="5"/>
      <c r="M22" s="5"/>
      <c r="N22" s="5"/>
    </row>
    <row r="23" spans="1:14" ht="13.5" customHeight="1" x14ac:dyDescent="0.2">
      <c r="A23" s="111" t="s">
        <v>40</v>
      </c>
      <c r="B23" s="108">
        <v>822624383.44999993</v>
      </c>
      <c r="C23" s="108">
        <v>432727557.81000006</v>
      </c>
      <c r="D23" s="108">
        <v>383726697.1099999</v>
      </c>
      <c r="E23" s="110">
        <v>3574915.2299999995</v>
      </c>
      <c r="F23" s="110">
        <v>2595213.2999999998</v>
      </c>
      <c r="G23" s="15"/>
      <c r="H23" s="15"/>
      <c r="I23" s="15"/>
      <c r="K23" s="5"/>
      <c r="L23" s="5"/>
      <c r="M23" s="5"/>
      <c r="N23" s="5"/>
    </row>
    <row r="24" spans="1:14" ht="13.5" customHeight="1" x14ac:dyDescent="0.2">
      <c r="A24" s="111" t="s">
        <v>41</v>
      </c>
      <c r="B24" s="108">
        <v>118183298.26000002</v>
      </c>
      <c r="C24" s="108">
        <v>51115279.840000004</v>
      </c>
      <c r="D24" s="108">
        <v>14029176.57</v>
      </c>
      <c r="E24" s="108">
        <v>12367504.77</v>
      </c>
      <c r="F24" s="108">
        <v>40671337.080000006</v>
      </c>
      <c r="G24" s="15"/>
      <c r="H24" s="15"/>
      <c r="I24" s="15"/>
      <c r="K24" s="5"/>
      <c r="L24" s="5"/>
      <c r="M24" s="5"/>
      <c r="N24" s="5"/>
    </row>
    <row r="25" spans="1:14" ht="13.5" customHeight="1" x14ac:dyDescent="0.2">
      <c r="A25" s="111" t="s">
        <v>42</v>
      </c>
      <c r="B25" s="108">
        <v>175075151.65000001</v>
      </c>
      <c r="C25" s="108">
        <v>81164385.389999986</v>
      </c>
      <c r="D25" s="108">
        <v>93795102.320000023</v>
      </c>
      <c r="E25" s="108">
        <v>115663.94</v>
      </c>
      <c r="F25" s="110" t="s">
        <v>58</v>
      </c>
      <c r="G25" s="15"/>
      <c r="H25" s="15"/>
      <c r="I25" s="15"/>
      <c r="K25" s="5"/>
      <c r="L25" s="5"/>
      <c r="M25" s="5"/>
      <c r="N25" s="5"/>
    </row>
    <row r="26" spans="1:14" ht="13.5" customHeight="1" x14ac:dyDescent="0.2">
      <c r="A26" s="111" t="s">
        <v>117</v>
      </c>
      <c r="B26" s="108">
        <v>65216145.379999995</v>
      </c>
      <c r="C26" s="108">
        <v>31208726.089999989</v>
      </c>
      <c r="D26" s="108">
        <v>32001274.340000004</v>
      </c>
      <c r="E26" s="108">
        <v>627020.42000000004</v>
      </c>
      <c r="F26" s="108">
        <v>1379124.53</v>
      </c>
      <c r="G26" s="15"/>
      <c r="H26" s="15"/>
      <c r="I26" s="15"/>
      <c r="K26" s="5"/>
      <c r="L26" s="5"/>
      <c r="M26" s="5"/>
      <c r="N26" s="5"/>
    </row>
    <row r="27" spans="1:14" ht="13.5" customHeight="1" x14ac:dyDescent="0.2">
      <c r="A27" s="111" t="s">
        <v>43</v>
      </c>
      <c r="B27" s="108">
        <v>393881401.66000009</v>
      </c>
      <c r="C27" s="108">
        <v>258023733.7400001</v>
      </c>
      <c r="D27" s="108">
        <v>132214610.61999999</v>
      </c>
      <c r="E27" s="108">
        <v>2683859.79</v>
      </c>
      <c r="F27" s="108">
        <v>959197.51</v>
      </c>
      <c r="G27" s="15"/>
      <c r="H27" s="15"/>
      <c r="I27" s="15"/>
      <c r="K27" s="5"/>
      <c r="L27" s="5"/>
      <c r="M27" s="5"/>
      <c r="N27" s="5"/>
    </row>
    <row r="28" spans="1:14" ht="13.5" customHeight="1" x14ac:dyDescent="0.2">
      <c r="A28" s="109" t="s">
        <v>21</v>
      </c>
      <c r="B28" s="108">
        <v>124080534.42</v>
      </c>
      <c r="C28" s="108">
        <v>36272700.25</v>
      </c>
      <c r="D28" s="108">
        <v>17692908.120000001</v>
      </c>
      <c r="E28" s="108">
        <v>562982.08000000007</v>
      </c>
      <c r="F28" s="108">
        <v>69551943.969999999</v>
      </c>
      <c r="G28" s="15"/>
      <c r="H28" s="15"/>
      <c r="I28" s="15"/>
      <c r="K28" s="5"/>
      <c r="L28" s="5"/>
      <c r="M28" s="5"/>
      <c r="N28" s="5"/>
    </row>
    <row r="29" spans="1:14" ht="13.5" customHeight="1" x14ac:dyDescent="0.2">
      <c r="A29" s="111" t="s">
        <v>44</v>
      </c>
      <c r="B29" s="108">
        <v>16854473.52</v>
      </c>
      <c r="C29" s="108">
        <v>11567040.889999999</v>
      </c>
      <c r="D29" s="108">
        <v>4863307.91</v>
      </c>
      <c r="E29" s="110" t="s">
        <v>58</v>
      </c>
      <c r="F29" s="108">
        <v>424124.72</v>
      </c>
      <c r="G29" s="15"/>
      <c r="H29" s="15"/>
      <c r="I29" s="15"/>
      <c r="K29" s="5"/>
      <c r="L29" s="5"/>
      <c r="M29" s="5"/>
      <c r="N29" s="5"/>
    </row>
    <row r="30" spans="1:14" ht="13.5" customHeight="1" x14ac:dyDescent="0.2">
      <c r="A30" s="111" t="s">
        <v>45</v>
      </c>
      <c r="B30" s="108">
        <v>974918.59000000008</v>
      </c>
      <c r="C30" s="108">
        <v>856118.45000000007</v>
      </c>
      <c r="D30" s="108">
        <v>95912.08</v>
      </c>
      <c r="E30" s="110" t="s">
        <v>58</v>
      </c>
      <c r="F30" s="108">
        <v>22888.059999999998</v>
      </c>
      <c r="G30" s="15"/>
      <c r="H30" s="15"/>
      <c r="I30" s="15"/>
      <c r="K30" s="5"/>
      <c r="L30" s="5"/>
      <c r="M30" s="5"/>
      <c r="N30" s="5"/>
    </row>
    <row r="31" spans="1:14" ht="13.5" customHeight="1" x14ac:dyDescent="0.2">
      <c r="A31" s="111" t="s">
        <v>46</v>
      </c>
      <c r="B31" s="108">
        <v>839190.99000000022</v>
      </c>
      <c r="C31" s="108">
        <v>620652.39000000013</v>
      </c>
      <c r="D31" s="108">
        <v>66787.909999999989</v>
      </c>
      <c r="E31" s="110" t="s">
        <v>58</v>
      </c>
      <c r="F31" s="108">
        <v>151750.69</v>
      </c>
      <c r="G31" s="15"/>
      <c r="H31" s="15"/>
      <c r="I31" s="15"/>
      <c r="K31" s="5"/>
      <c r="L31" s="5"/>
      <c r="M31" s="5"/>
      <c r="N31" s="5"/>
    </row>
    <row r="32" spans="1:14" ht="13.5" customHeight="1" x14ac:dyDescent="0.2">
      <c r="A32" s="111" t="s">
        <v>47</v>
      </c>
      <c r="B32" s="108">
        <v>105411951.31999999</v>
      </c>
      <c r="C32" s="108">
        <v>23228888.52</v>
      </c>
      <c r="D32" s="108">
        <v>12666900.219999999</v>
      </c>
      <c r="E32" s="108">
        <v>562982.08000000007</v>
      </c>
      <c r="F32" s="108">
        <v>68953180.5</v>
      </c>
      <c r="G32" s="15"/>
      <c r="H32" s="15"/>
      <c r="I32" s="15"/>
      <c r="K32" s="5"/>
      <c r="L32" s="5"/>
      <c r="M32" s="5"/>
      <c r="N32" s="5"/>
    </row>
    <row r="33" spans="1:14" ht="13.5" customHeight="1" x14ac:dyDescent="0.2">
      <c r="A33" s="109" t="s">
        <v>35</v>
      </c>
      <c r="B33" s="108">
        <v>7535678.7599999998</v>
      </c>
      <c r="C33" s="108">
        <v>812177.88</v>
      </c>
      <c r="D33" s="108">
        <v>6167391.9799999995</v>
      </c>
      <c r="E33" s="108">
        <v>2345</v>
      </c>
      <c r="F33" s="108">
        <v>553763.9</v>
      </c>
      <c r="G33" s="15"/>
      <c r="H33" s="15"/>
      <c r="I33" s="15"/>
      <c r="K33" s="5"/>
      <c r="L33" s="5"/>
      <c r="M33" s="5"/>
      <c r="N33" s="5"/>
    </row>
    <row r="34" spans="1:14" ht="13.5" customHeight="1" x14ac:dyDescent="0.2">
      <c r="A34" s="109" t="s">
        <v>33</v>
      </c>
      <c r="B34" s="108">
        <v>413955310.44999987</v>
      </c>
      <c r="C34" s="108">
        <v>124822941.47999993</v>
      </c>
      <c r="D34" s="108">
        <v>273151676.39999998</v>
      </c>
      <c r="E34" s="108">
        <v>3469771.52</v>
      </c>
      <c r="F34" s="108">
        <v>12510921.049999999</v>
      </c>
      <c r="G34" s="15"/>
      <c r="H34" s="15"/>
      <c r="I34" s="15"/>
      <c r="K34" s="5"/>
      <c r="L34" s="5"/>
      <c r="M34" s="5"/>
      <c r="N34" s="5"/>
    </row>
    <row r="35" spans="1:14" ht="13.5" customHeight="1" x14ac:dyDescent="0.2">
      <c r="A35" s="115" t="s">
        <v>27</v>
      </c>
      <c r="B35" s="116">
        <v>40715067.349999994</v>
      </c>
      <c r="C35" s="116">
        <v>16220759.949999996</v>
      </c>
      <c r="D35" s="116">
        <v>19420428.040000007</v>
      </c>
      <c r="E35" s="116">
        <v>609065.48</v>
      </c>
      <c r="F35" s="116">
        <v>4464813.879999999</v>
      </c>
      <c r="G35" s="15"/>
      <c r="H35" s="15"/>
      <c r="I35" s="15"/>
      <c r="K35" s="5"/>
      <c r="L35" s="5"/>
      <c r="M35" s="5"/>
      <c r="N35" s="5"/>
    </row>
    <row r="37" spans="1:14" ht="13.5" customHeight="1" x14ac:dyDescent="0.2">
      <c r="A37" s="17" t="s">
        <v>61</v>
      </c>
    </row>
    <row r="38" spans="1:14" ht="13.5" customHeight="1" x14ac:dyDescent="0.2">
      <c r="A38" s="9" t="s">
        <v>76</v>
      </c>
    </row>
  </sheetData>
  <mergeCells count="3">
    <mergeCell ref="A4:A5"/>
    <mergeCell ref="B4:B5"/>
    <mergeCell ref="C4:F4"/>
  </mergeCells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M34"/>
  <sheetViews>
    <sheetView zoomScaleNormal="100" workbookViewId="0">
      <selection activeCell="A3" sqref="A3"/>
    </sheetView>
  </sheetViews>
  <sheetFormatPr defaultRowHeight="13.5" customHeight="1" x14ac:dyDescent="0.2"/>
  <cols>
    <col min="1" max="1" width="38.75" style="9" customWidth="1"/>
    <col min="2" max="3" width="17.75" style="9" customWidth="1"/>
    <col min="4" max="9" width="12" style="9" customWidth="1"/>
    <col min="10" max="11" width="13.375" style="9" customWidth="1"/>
    <col min="12" max="12" width="20.875" style="9" customWidth="1"/>
    <col min="13" max="13" width="15.875" style="10" customWidth="1"/>
    <col min="14" max="14" width="16.5" style="9" customWidth="1"/>
    <col min="15" max="30" width="13.5" style="9" customWidth="1"/>
    <col min="31" max="34" width="8" style="9"/>
    <col min="35" max="16384" width="9" style="9"/>
  </cols>
  <sheetData>
    <row r="1" spans="1:11" ht="13.5" customHeight="1" x14ac:dyDescent="0.2">
      <c r="A1" s="16" t="s">
        <v>183</v>
      </c>
    </row>
    <row r="2" spans="1:11" ht="13.5" customHeight="1" x14ac:dyDescent="0.2">
      <c r="A2" s="6" t="s">
        <v>122</v>
      </c>
    </row>
    <row r="3" spans="1:11" ht="13.5" customHeight="1" x14ac:dyDescent="0.2">
      <c r="A3" s="8"/>
    </row>
    <row r="4" spans="1:11" s="14" customFormat="1" ht="12" x14ac:dyDescent="0.2">
      <c r="A4" s="154" t="s">
        <v>29</v>
      </c>
      <c r="B4" s="159" t="s">
        <v>56</v>
      </c>
      <c r="C4" s="160"/>
      <c r="D4" s="11"/>
      <c r="E4" s="12"/>
      <c r="F4" s="12"/>
      <c r="G4" s="12"/>
      <c r="H4" s="12"/>
      <c r="I4" s="11"/>
      <c r="J4" s="4"/>
      <c r="K4" s="13"/>
    </row>
    <row r="5" spans="1:11" ht="38.25" customHeight="1" x14ac:dyDescent="0.2">
      <c r="A5" s="158"/>
      <c r="B5" s="58" t="s">
        <v>54</v>
      </c>
      <c r="C5" s="58" t="s">
        <v>55</v>
      </c>
    </row>
    <row r="6" spans="1:11" ht="13.5" customHeight="1" x14ac:dyDescent="0.2">
      <c r="A6" s="102" t="s">
        <v>11</v>
      </c>
      <c r="B6" s="103">
        <v>7432</v>
      </c>
      <c r="C6" s="103">
        <v>1787</v>
      </c>
    </row>
    <row r="7" spans="1:11" ht="13.5" customHeight="1" x14ac:dyDescent="0.2">
      <c r="A7" s="104" t="s">
        <v>12</v>
      </c>
      <c r="B7" s="105">
        <v>1118652986.5200007</v>
      </c>
      <c r="C7" s="105">
        <v>1574977263.6700017</v>
      </c>
    </row>
    <row r="8" spans="1:11" ht="13.5" customHeight="1" x14ac:dyDescent="0.2">
      <c r="A8" s="107" t="s">
        <v>50</v>
      </c>
      <c r="B8" s="105"/>
      <c r="C8" s="105"/>
    </row>
    <row r="9" spans="1:11" ht="13.5" customHeight="1" x14ac:dyDescent="0.2">
      <c r="A9" s="109" t="s">
        <v>15</v>
      </c>
      <c r="B9" s="108">
        <v>344781715.83999962</v>
      </c>
      <c r="C9" s="108">
        <v>100618982.86000001</v>
      </c>
    </row>
    <row r="10" spans="1:11" ht="13.5" customHeight="1" x14ac:dyDescent="0.2">
      <c r="A10" s="109" t="s">
        <v>16</v>
      </c>
      <c r="B10" s="108">
        <v>130478615.66999969</v>
      </c>
      <c r="C10" s="108">
        <v>37852033.879999921</v>
      </c>
    </row>
    <row r="11" spans="1:11" ht="13.5" customHeight="1" x14ac:dyDescent="0.2">
      <c r="A11" s="109" t="s">
        <v>17</v>
      </c>
      <c r="B11" s="108">
        <v>45686366.800000004</v>
      </c>
      <c r="C11" s="108">
        <v>988113829.09000182</v>
      </c>
    </row>
    <row r="12" spans="1:11" ht="13.5" customHeight="1" x14ac:dyDescent="0.2">
      <c r="A12" s="109" t="s">
        <v>18</v>
      </c>
      <c r="B12" s="108">
        <v>81086811.790000036</v>
      </c>
      <c r="C12" s="108">
        <v>117549240.48999982</v>
      </c>
      <c r="D12" s="14"/>
    </row>
    <row r="13" spans="1:11" ht="13.5" customHeight="1" x14ac:dyDescent="0.2">
      <c r="A13" s="109" t="s">
        <v>51</v>
      </c>
      <c r="B13" s="108">
        <v>565583.07999999996</v>
      </c>
      <c r="C13" s="108">
        <v>156782584.70000008</v>
      </c>
    </row>
    <row r="14" spans="1:11" ht="13.5" customHeight="1" x14ac:dyDescent="0.2">
      <c r="A14" s="109" t="s">
        <v>28</v>
      </c>
      <c r="B14" s="108">
        <v>1280794.9700000002</v>
      </c>
      <c r="C14" s="108">
        <v>96459.46</v>
      </c>
    </row>
    <row r="15" spans="1:11" ht="13.5" customHeight="1" x14ac:dyDescent="0.2">
      <c r="A15" s="109" t="s">
        <v>19</v>
      </c>
      <c r="B15" s="110">
        <v>78375425.060000017</v>
      </c>
      <c r="C15" s="110">
        <v>15997522.940000013</v>
      </c>
    </row>
    <row r="16" spans="1:11" ht="13.5" customHeight="1" x14ac:dyDescent="0.2">
      <c r="A16" s="109" t="s">
        <v>20</v>
      </c>
      <c r="B16" s="110">
        <v>18770891.430000026</v>
      </c>
      <c r="C16" s="110">
        <v>5554358.9999999972</v>
      </c>
    </row>
    <row r="17" spans="1:13" ht="13.5" customHeight="1" x14ac:dyDescent="0.2">
      <c r="A17" s="109" t="s">
        <v>31</v>
      </c>
      <c r="B17" s="108">
        <v>29947945.550000027</v>
      </c>
      <c r="C17" s="108">
        <v>4593678.070000004</v>
      </c>
    </row>
    <row r="18" spans="1:13" ht="13.5" customHeight="1" x14ac:dyDescent="0.2">
      <c r="A18" s="109" t="s">
        <v>38</v>
      </c>
      <c r="B18" s="108">
        <v>63936301.509999976</v>
      </c>
      <c r="C18" s="108">
        <v>11634565.630000005</v>
      </c>
    </row>
    <row r="19" spans="1:13" ht="13.5" customHeight="1" x14ac:dyDescent="0.2">
      <c r="A19" s="104" t="s">
        <v>14</v>
      </c>
      <c r="B19" s="105">
        <v>1296576971.8900001</v>
      </c>
      <c r="C19" s="105">
        <v>1602845520.6800008</v>
      </c>
      <c r="M19" s="13"/>
    </row>
    <row r="20" spans="1:13" ht="13.5" customHeight="1" x14ac:dyDescent="0.2">
      <c r="A20" s="109" t="s">
        <v>34</v>
      </c>
      <c r="B20" s="108">
        <v>1024861477.4799998</v>
      </c>
      <c r="C20" s="108">
        <v>866498650.09000075</v>
      </c>
      <c r="M20" s="13"/>
    </row>
    <row r="21" spans="1:13" ht="13.5" customHeight="1" x14ac:dyDescent="0.2">
      <c r="A21" s="109" t="s">
        <v>39</v>
      </c>
      <c r="B21" s="108"/>
      <c r="C21" s="108"/>
      <c r="M21" s="13"/>
    </row>
    <row r="22" spans="1:13" ht="13.5" customHeight="1" x14ac:dyDescent="0.2">
      <c r="A22" s="111" t="s">
        <v>42</v>
      </c>
      <c r="B22" s="108">
        <v>8147743.7399999984</v>
      </c>
      <c r="C22" s="108">
        <v>23242.89</v>
      </c>
      <c r="M22" s="13"/>
    </row>
    <row r="23" spans="1:13" ht="13.5" customHeight="1" x14ac:dyDescent="0.2">
      <c r="A23" s="111" t="s">
        <v>52</v>
      </c>
      <c r="B23" s="108">
        <v>31765830.650000002</v>
      </c>
      <c r="C23" s="110" t="s">
        <v>58</v>
      </c>
      <c r="M23" s="13"/>
    </row>
    <row r="24" spans="1:13" ht="13.5" customHeight="1" x14ac:dyDescent="0.2">
      <c r="A24" s="111" t="s">
        <v>117</v>
      </c>
      <c r="B24" s="108">
        <v>42507871.579999991</v>
      </c>
      <c r="C24" s="108">
        <v>45503</v>
      </c>
      <c r="M24" s="13"/>
    </row>
    <row r="25" spans="1:13" ht="13.5" customHeight="1" x14ac:dyDescent="0.2">
      <c r="A25" s="111" t="s">
        <v>43</v>
      </c>
      <c r="B25" s="108">
        <v>647522675.45999944</v>
      </c>
      <c r="C25" s="108">
        <v>4380332.2799999993</v>
      </c>
    </row>
    <row r="26" spans="1:13" ht="13.5" customHeight="1" x14ac:dyDescent="0.2">
      <c r="A26" s="111" t="s">
        <v>53</v>
      </c>
      <c r="B26" s="108">
        <v>250201459.03000015</v>
      </c>
      <c r="C26" s="108">
        <v>555437.25</v>
      </c>
      <c r="M26" s="13"/>
    </row>
    <row r="27" spans="1:13" ht="13.5" customHeight="1" x14ac:dyDescent="0.2">
      <c r="A27" s="109" t="s">
        <v>21</v>
      </c>
      <c r="B27" s="108">
        <v>171102925.74999985</v>
      </c>
      <c r="C27" s="108">
        <v>643274076.17999995</v>
      </c>
      <c r="M27" s="13"/>
    </row>
    <row r="28" spans="1:13" ht="13.5" customHeight="1" x14ac:dyDescent="0.2">
      <c r="A28" s="111" t="s">
        <v>44</v>
      </c>
      <c r="B28" s="108">
        <v>7297983.3500000006</v>
      </c>
      <c r="C28" s="108">
        <v>398446617.16999978</v>
      </c>
      <c r="M28" s="13"/>
    </row>
    <row r="29" spans="1:13" ht="13.5" customHeight="1" x14ac:dyDescent="0.2">
      <c r="A29" s="111" t="s">
        <v>45</v>
      </c>
      <c r="B29" s="108">
        <v>2629915.87</v>
      </c>
      <c r="C29" s="108">
        <v>43064477.859999962</v>
      </c>
      <c r="M29" s="13"/>
    </row>
    <row r="30" spans="1:13" ht="13.5" customHeight="1" x14ac:dyDescent="0.2">
      <c r="A30" s="111" t="s">
        <v>46</v>
      </c>
      <c r="B30" s="108">
        <v>701729.75999999989</v>
      </c>
      <c r="C30" s="108">
        <v>182334604.98999986</v>
      </c>
    </row>
    <row r="31" spans="1:13" ht="13.5" customHeight="1" x14ac:dyDescent="0.2">
      <c r="A31" s="111" t="s">
        <v>47</v>
      </c>
      <c r="B31" s="108">
        <v>160473296.76999986</v>
      </c>
      <c r="C31" s="108">
        <v>19428376.160000023</v>
      </c>
    </row>
    <row r="32" spans="1:13" ht="13.5" customHeight="1" x14ac:dyDescent="0.2">
      <c r="A32" s="109" t="s">
        <v>35</v>
      </c>
      <c r="B32" s="108">
        <v>1752251.1400000001</v>
      </c>
      <c r="C32" s="108">
        <v>199331.86000000002</v>
      </c>
    </row>
    <row r="33" spans="1:3" ht="13.5" customHeight="1" x14ac:dyDescent="0.2">
      <c r="A33" s="109" t="s">
        <v>33</v>
      </c>
      <c r="B33" s="108">
        <v>98860317.519999981</v>
      </c>
      <c r="C33" s="108">
        <v>92873462.549999997</v>
      </c>
    </row>
    <row r="34" spans="1:3" ht="13.5" customHeight="1" x14ac:dyDescent="0.2">
      <c r="A34" s="115" t="s">
        <v>27</v>
      </c>
      <c r="B34" s="116">
        <v>177923985.37</v>
      </c>
      <c r="C34" s="116">
        <v>27868257.010000035</v>
      </c>
    </row>
  </sheetData>
  <mergeCells count="2">
    <mergeCell ref="A4:A5"/>
    <mergeCell ref="B4:C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"/>
  <sheetViews>
    <sheetView zoomScaleNormal="100" workbookViewId="0">
      <selection activeCell="A3" sqref="A3"/>
    </sheetView>
  </sheetViews>
  <sheetFormatPr defaultRowHeight="13.5" customHeight="1" x14ac:dyDescent="0.2"/>
  <cols>
    <col min="1" max="1" width="27.5" style="2" bestFit="1" customWidth="1"/>
    <col min="2" max="2" width="13.5" style="3" customWidth="1"/>
    <col min="3" max="4" width="13.5" style="2" customWidth="1"/>
    <col min="5" max="6" width="9" style="2"/>
    <col min="7" max="7" width="27.5" style="2" bestFit="1" customWidth="1"/>
    <col min="8" max="9" width="13.5" style="2" customWidth="1"/>
    <col min="10" max="10" width="13.5" style="3" customWidth="1"/>
    <col min="11" max="12" width="9" style="2"/>
    <col min="13" max="13" width="19.125" style="2" customWidth="1"/>
    <col min="14" max="16" width="11" style="2" customWidth="1"/>
    <col min="17" max="16384" width="9" style="2"/>
  </cols>
  <sheetData>
    <row r="1" spans="1:16" ht="13.5" customHeight="1" x14ac:dyDescent="0.2">
      <c r="A1" s="16" t="s">
        <v>183</v>
      </c>
      <c r="G1" s="45"/>
      <c r="H1" s="29"/>
      <c r="I1" s="29"/>
      <c r="J1" s="42"/>
    </row>
    <row r="2" spans="1:16" ht="13.5" customHeight="1" x14ac:dyDescent="0.2">
      <c r="A2" s="45" t="s">
        <v>123</v>
      </c>
      <c r="G2" s="29"/>
      <c r="H2" s="29"/>
      <c r="I2" s="29"/>
      <c r="J2" s="30"/>
    </row>
    <row r="3" spans="1:16" ht="13.5" customHeight="1" x14ac:dyDescent="0.2">
      <c r="G3" s="28"/>
      <c r="H3" s="29"/>
      <c r="I3" s="29"/>
      <c r="J3" s="30"/>
    </row>
    <row r="4" spans="1:16" ht="13.5" customHeight="1" x14ac:dyDescent="0.2">
      <c r="A4" s="161" t="s">
        <v>29</v>
      </c>
      <c r="B4" s="163" t="s">
        <v>118</v>
      </c>
      <c r="C4" s="161"/>
      <c r="D4" s="161"/>
      <c r="G4" s="28"/>
      <c r="H4" s="29"/>
      <c r="I4" s="29"/>
      <c r="J4" s="30"/>
      <c r="M4" s="2" t="s">
        <v>157</v>
      </c>
    </row>
    <row r="5" spans="1:16" ht="39.75" customHeight="1" x14ac:dyDescent="0.2">
      <c r="A5" s="162"/>
      <c r="B5" s="46" t="s">
        <v>112</v>
      </c>
      <c r="C5" s="47" t="s">
        <v>113</v>
      </c>
      <c r="D5" s="47" t="s">
        <v>110</v>
      </c>
      <c r="G5" s="28"/>
      <c r="H5" s="29"/>
      <c r="I5" s="29"/>
      <c r="J5" s="30"/>
      <c r="M5" s="66" t="s">
        <v>84</v>
      </c>
      <c r="N5" s="47" t="s">
        <v>110</v>
      </c>
      <c r="O5" s="47" t="s">
        <v>113</v>
      </c>
      <c r="P5" s="46" t="s">
        <v>112</v>
      </c>
    </row>
    <row r="6" spans="1:16" ht="13.5" customHeight="1" x14ac:dyDescent="0.2">
      <c r="A6" s="118" t="s">
        <v>12</v>
      </c>
      <c r="B6" s="119">
        <v>1118652986.5200007</v>
      </c>
      <c r="C6" s="120">
        <v>2527474073.75</v>
      </c>
      <c r="D6" s="120">
        <v>1574977263.6700017</v>
      </c>
      <c r="G6" s="28"/>
      <c r="H6" s="29"/>
      <c r="I6" s="29"/>
      <c r="J6" s="30"/>
      <c r="M6" s="67" t="s">
        <v>107</v>
      </c>
      <c r="N6" s="68">
        <v>8.7919375050110687E-2</v>
      </c>
      <c r="O6" s="68">
        <v>0.49972728700873398</v>
      </c>
      <c r="P6" s="69">
        <v>0.42485054546582751</v>
      </c>
    </row>
    <row r="7" spans="1:16" ht="13.5" customHeight="1" x14ac:dyDescent="0.2">
      <c r="A7" s="121" t="s">
        <v>85</v>
      </c>
      <c r="B7" s="108">
        <v>475260331.50999928</v>
      </c>
      <c r="C7" s="122">
        <v>1263047761.8600004</v>
      </c>
      <c r="D7" s="122">
        <v>138471016.73999995</v>
      </c>
      <c r="G7" s="28"/>
      <c r="H7" s="29"/>
      <c r="I7" s="29"/>
      <c r="J7" s="30"/>
      <c r="M7" s="70" t="s">
        <v>17</v>
      </c>
      <c r="N7" s="71">
        <v>0.62738291649208033</v>
      </c>
      <c r="O7" s="71">
        <v>9.0640468133506208E-2</v>
      </c>
      <c r="P7" s="72">
        <v>4.0840517435281672E-2</v>
      </c>
    </row>
    <row r="8" spans="1:16" ht="13.5" customHeight="1" x14ac:dyDescent="0.2">
      <c r="A8" s="123" t="s">
        <v>86</v>
      </c>
      <c r="B8" s="108">
        <v>45686366.800000004</v>
      </c>
      <c r="C8" s="122">
        <v>229091433.24000001</v>
      </c>
      <c r="D8" s="122">
        <v>988113829.09000182</v>
      </c>
      <c r="G8" s="28"/>
      <c r="H8" s="29"/>
      <c r="I8" s="29"/>
      <c r="J8" s="30"/>
      <c r="M8" s="70" t="s">
        <v>18</v>
      </c>
      <c r="N8" s="71">
        <v>7.4635515827122065E-2</v>
      </c>
      <c r="O8" s="71">
        <v>0.12238425414629833</v>
      </c>
      <c r="P8" s="72">
        <v>7.2486117470844713E-2</v>
      </c>
    </row>
    <row r="9" spans="1:16" ht="13.5" customHeight="1" x14ac:dyDescent="0.2">
      <c r="A9" s="123" t="s">
        <v>18</v>
      </c>
      <c r="B9" s="108">
        <v>81086811.790000036</v>
      </c>
      <c r="C9" s="122">
        <v>309323029.38999999</v>
      </c>
      <c r="D9" s="122">
        <v>117549240.48999982</v>
      </c>
      <c r="G9" s="28"/>
      <c r="H9" s="29"/>
      <c r="I9" s="29"/>
      <c r="J9" s="30"/>
      <c r="M9" s="73" t="s">
        <v>88</v>
      </c>
      <c r="N9" s="71">
        <v>9.9545935243957967E-2</v>
      </c>
      <c r="O9" s="71">
        <v>5.1521779136113276E-4</v>
      </c>
      <c r="P9" s="72">
        <v>5.0559296476690517E-4</v>
      </c>
    </row>
    <row r="10" spans="1:16" ht="13.5" customHeight="1" x14ac:dyDescent="0.2">
      <c r="A10" s="109" t="s">
        <v>88</v>
      </c>
      <c r="B10" s="108">
        <v>565583.07999999996</v>
      </c>
      <c r="C10" s="122">
        <v>1302199.6099999999</v>
      </c>
      <c r="D10" s="122">
        <v>156782584.70000011</v>
      </c>
      <c r="G10" s="28"/>
      <c r="H10" s="29"/>
      <c r="I10" s="29"/>
      <c r="J10" s="30"/>
      <c r="M10" s="73" t="s">
        <v>28</v>
      </c>
      <c r="N10" s="71">
        <v>6.1244985705527453E-5</v>
      </c>
      <c r="O10" s="71">
        <v>1.1684103301674863E-2</v>
      </c>
      <c r="P10" s="72">
        <v>1.1449439508353742E-3</v>
      </c>
    </row>
    <row r="11" spans="1:16" ht="13.5" customHeight="1" x14ac:dyDescent="0.2">
      <c r="A11" s="109" t="s">
        <v>28</v>
      </c>
      <c r="B11" s="108">
        <v>1280794.9700000002</v>
      </c>
      <c r="C11" s="122">
        <v>29531268.170000002</v>
      </c>
      <c r="D11" s="122">
        <v>96459.46</v>
      </c>
      <c r="G11" s="28"/>
      <c r="H11" s="29"/>
      <c r="I11" s="29"/>
      <c r="J11" s="30"/>
      <c r="M11" s="73" t="s">
        <v>19</v>
      </c>
      <c r="N11" s="71">
        <v>1.0157304050677329E-2</v>
      </c>
      <c r="O11" s="71">
        <v>3.3047496161284821E-2</v>
      </c>
      <c r="P11" s="72">
        <v>7.0062321385130202E-2</v>
      </c>
    </row>
    <row r="12" spans="1:16" ht="13.5" customHeight="1" x14ac:dyDescent="0.2">
      <c r="A12" s="109" t="s">
        <v>91</v>
      </c>
      <c r="B12" s="108">
        <v>78375425.060000017</v>
      </c>
      <c r="C12" s="122">
        <v>83526689.75000003</v>
      </c>
      <c r="D12" s="122">
        <v>15997522.940000005</v>
      </c>
      <c r="G12" s="28"/>
      <c r="H12" s="29"/>
      <c r="I12" s="29"/>
      <c r="J12" s="30"/>
      <c r="M12" s="73" t="s">
        <v>32</v>
      </c>
      <c r="N12" s="71">
        <v>0</v>
      </c>
      <c r="O12" s="71">
        <v>1.2710730904683328E-2</v>
      </c>
      <c r="P12" s="72">
        <v>0</v>
      </c>
    </row>
    <row r="13" spans="1:16" ht="13.5" customHeight="1" x14ac:dyDescent="0.2">
      <c r="A13" s="109" t="s">
        <v>93</v>
      </c>
      <c r="B13" s="108">
        <v>0</v>
      </c>
      <c r="C13" s="122">
        <v>32126042.819999993</v>
      </c>
      <c r="D13" s="122">
        <v>0</v>
      </c>
      <c r="G13" s="28"/>
      <c r="H13" s="29"/>
      <c r="I13" s="29"/>
      <c r="J13" s="30"/>
      <c r="M13" s="73" t="s">
        <v>108</v>
      </c>
      <c r="N13" s="71">
        <v>2.9166631010887393E-3</v>
      </c>
      <c r="O13" s="71">
        <v>1.575598319428656E-2</v>
      </c>
      <c r="P13" s="72">
        <v>2.6771434851449869E-2</v>
      </c>
    </row>
    <row r="14" spans="1:16" ht="13.5" customHeight="1" x14ac:dyDescent="0.2">
      <c r="A14" s="109" t="s">
        <v>94</v>
      </c>
      <c r="B14" s="108">
        <v>29947945.550000027</v>
      </c>
      <c r="C14" s="122">
        <v>39822839.029999994</v>
      </c>
      <c r="D14" s="122">
        <v>4593678.070000004</v>
      </c>
      <c r="G14" s="28"/>
      <c r="H14" s="29"/>
      <c r="I14" s="29"/>
      <c r="J14" s="30"/>
      <c r="M14" s="74" t="s">
        <v>109</v>
      </c>
      <c r="N14" s="75">
        <v>9.7381045249257295E-2</v>
      </c>
      <c r="O14" s="75">
        <v>0.21353445935817089</v>
      </c>
      <c r="P14" s="76">
        <v>0.36333852647586184</v>
      </c>
    </row>
    <row r="15" spans="1:16" ht="13.5" customHeight="1" x14ac:dyDescent="0.2">
      <c r="A15" s="124" t="s">
        <v>95</v>
      </c>
      <c r="B15" s="125">
        <v>406449727.75999922</v>
      </c>
      <c r="C15" s="126">
        <v>539702809.88</v>
      </c>
      <c r="D15" s="126">
        <v>153372932.17999989</v>
      </c>
      <c r="G15" s="28"/>
      <c r="H15" s="29"/>
      <c r="I15" s="29"/>
      <c r="J15" s="30"/>
    </row>
    <row r="16" spans="1:16" ht="13.5" customHeight="1" x14ac:dyDescent="0.2">
      <c r="A16" s="63" t="s">
        <v>119</v>
      </c>
      <c r="B16" s="64"/>
      <c r="C16" s="65"/>
      <c r="D16" s="65"/>
      <c r="G16" s="28"/>
      <c r="H16" s="29"/>
      <c r="I16" s="29"/>
      <c r="J16" s="30"/>
    </row>
    <row r="17" spans="1:10" ht="13.5" customHeight="1" x14ac:dyDescent="0.2">
      <c r="A17" s="127" t="s">
        <v>107</v>
      </c>
      <c r="B17" s="128">
        <v>0.42485054546582751</v>
      </c>
      <c r="C17" s="129">
        <v>0.49972728700873398</v>
      </c>
      <c r="D17" s="129">
        <v>8.7919375050110687E-2</v>
      </c>
      <c r="G17" s="28"/>
      <c r="H17" s="29"/>
      <c r="I17" s="29"/>
      <c r="J17" s="30"/>
    </row>
    <row r="18" spans="1:10" ht="13.5" customHeight="1" x14ac:dyDescent="0.2">
      <c r="A18" s="123" t="s">
        <v>17</v>
      </c>
      <c r="B18" s="130">
        <v>4.0840517435281672E-2</v>
      </c>
      <c r="C18" s="131">
        <v>9.0640468133506208E-2</v>
      </c>
      <c r="D18" s="131">
        <v>0.62738291649208033</v>
      </c>
      <c r="G18" s="28"/>
      <c r="H18" s="29"/>
      <c r="I18" s="29"/>
      <c r="J18" s="30"/>
    </row>
    <row r="19" spans="1:10" ht="13.5" customHeight="1" x14ac:dyDescent="0.2">
      <c r="A19" s="123" t="s">
        <v>18</v>
      </c>
      <c r="B19" s="130">
        <v>7.2486117470844713E-2</v>
      </c>
      <c r="C19" s="131">
        <v>0.12238425414629833</v>
      </c>
      <c r="D19" s="131">
        <v>7.4635515827122065E-2</v>
      </c>
      <c r="G19" s="28"/>
      <c r="H19" s="29"/>
      <c r="I19" s="29"/>
      <c r="J19" s="30"/>
    </row>
    <row r="20" spans="1:10" ht="13.5" customHeight="1" x14ac:dyDescent="0.2">
      <c r="A20" s="109" t="s">
        <v>88</v>
      </c>
      <c r="B20" s="130">
        <v>5.0559296476690517E-4</v>
      </c>
      <c r="C20" s="131">
        <v>5.1521779136113276E-4</v>
      </c>
      <c r="D20" s="131">
        <v>9.9545935243957967E-2</v>
      </c>
      <c r="G20" s="28"/>
      <c r="H20" s="29"/>
      <c r="I20" s="29"/>
      <c r="J20" s="30"/>
    </row>
    <row r="21" spans="1:10" ht="13.5" customHeight="1" x14ac:dyDescent="0.2">
      <c r="A21" s="109" t="s">
        <v>28</v>
      </c>
      <c r="B21" s="130">
        <v>1.1449439508353742E-3</v>
      </c>
      <c r="C21" s="131">
        <v>1.1684103301674867E-2</v>
      </c>
      <c r="D21" s="131">
        <v>6.1244985705527453E-5</v>
      </c>
      <c r="H21" s="29"/>
      <c r="I21" s="29"/>
      <c r="J21" s="30"/>
    </row>
    <row r="22" spans="1:10" ht="13.5" customHeight="1" x14ac:dyDescent="0.2">
      <c r="A22" s="109" t="s">
        <v>19</v>
      </c>
      <c r="B22" s="130">
        <v>7.0062321385130202E-2</v>
      </c>
      <c r="C22" s="131">
        <v>3.3047496161284821E-2</v>
      </c>
      <c r="D22" s="131">
        <v>1.0157304050677329E-2</v>
      </c>
      <c r="G22" s="28"/>
      <c r="H22" s="29"/>
      <c r="I22" s="29"/>
      <c r="J22" s="30"/>
    </row>
    <row r="23" spans="1:10" ht="13.5" customHeight="1" x14ac:dyDescent="0.2">
      <c r="A23" s="109" t="s">
        <v>32</v>
      </c>
      <c r="B23" s="130">
        <v>0</v>
      </c>
      <c r="C23" s="131">
        <v>1.2710730904683328E-2</v>
      </c>
      <c r="D23" s="131">
        <v>0</v>
      </c>
      <c r="H23" s="29"/>
      <c r="I23" s="29"/>
      <c r="J23" s="30"/>
    </row>
    <row r="24" spans="1:10" ht="13.5" customHeight="1" x14ac:dyDescent="0.2">
      <c r="A24" s="109" t="s">
        <v>108</v>
      </c>
      <c r="B24" s="130">
        <v>2.6771434851449869E-2</v>
      </c>
      <c r="C24" s="131">
        <v>1.575598319428656E-2</v>
      </c>
      <c r="D24" s="131">
        <v>2.9166631010887393E-3</v>
      </c>
      <c r="H24" s="29"/>
      <c r="I24" s="29"/>
      <c r="J24" s="30"/>
    </row>
    <row r="25" spans="1:10" ht="13.5" customHeight="1" x14ac:dyDescent="0.2">
      <c r="A25" s="124" t="s">
        <v>109</v>
      </c>
      <c r="B25" s="132">
        <v>0.36333852647586184</v>
      </c>
      <c r="C25" s="133">
        <v>0.21353445935817089</v>
      </c>
      <c r="D25" s="133">
        <v>9.7381045249257295E-2</v>
      </c>
      <c r="G25" s="45"/>
      <c r="H25" s="29"/>
      <c r="I25" s="29"/>
      <c r="J25" s="30"/>
    </row>
    <row r="26" spans="1:10" ht="13.5" customHeight="1" x14ac:dyDescent="0.2">
      <c r="G26" s="29"/>
      <c r="H26" s="29"/>
      <c r="I26" s="29"/>
      <c r="J26" s="30"/>
    </row>
    <row r="27" spans="1:10" ht="13.5" customHeight="1" x14ac:dyDescent="0.2">
      <c r="G27" s="28"/>
      <c r="H27" s="29"/>
      <c r="I27" s="29"/>
      <c r="J27" s="30"/>
    </row>
    <row r="28" spans="1:10" ht="13.5" customHeight="1" x14ac:dyDescent="0.2">
      <c r="G28" s="28"/>
      <c r="H28" s="29"/>
      <c r="I28" s="29"/>
      <c r="J28" s="30"/>
    </row>
    <row r="29" spans="1:10" ht="13.5" customHeight="1" x14ac:dyDescent="0.2">
      <c r="G29" s="28"/>
      <c r="H29" s="29"/>
      <c r="I29" s="29"/>
      <c r="J29" s="30"/>
    </row>
    <row r="30" spans="1:10" ht="13.5" customHeight="1" x14ac:dyDescent="0.2">
      <c r="G30" s="28"/>
      <c r="H30" s="29"/>
      <c r="I30" s="29"/>
      <c r="J30" s="30"/>
    </row>
    <row r="31" spans="1:10" ht="13.5" customHeight="1" x14ac:dyDescent="0.2">
      <c r="G31" s="28"/>
      <c r="H31" s="29"/>
      <c r="I31" s="29"/>
      <c r="J31" s="30"/>
    </row>
    <row r="32" spans="1:10" ht="13.5" customHeight="1" x14ac:dyDescent="0.2">
      <c r="G32" s="28"/>
      <c r="H32" s="29"/>
      <c r="I32" s="29"/>
      <c r="J32" s="30"/>
    </row>
    <row r="33" spans="7:10" ht="13.5" customHeight="1" x14ac:dyDescent="0.2">
      <c r="G33" s="28"/>
      <c r="H33" s="29"/>
      <c r="I33" s="29"/>
      <c r="J33" s="30"/>
    </row>
    <row r="34" spans="7:10" ht="13.5" customHeight="1" x14ac:dyDescent="0.2">
      <c r="H34" s="29"/>
      <c r="I34" s="29"/>
      <c r="J34" s="30"/>
    </row>
    <row r="35" spans="7:10" ht="13.5" customHeight="1" x14ac:dyDescent="0.2">
      <c r="G35" s="28"/>
      <c r="H35" s="29"/>
      <c r="I35" s="29"/>
      <c r="J35" s="30"/>
    </row>
    <row r="36" spans="7:10" ht="13.5" customHeight="1" x14ac:dyDescent="0.2">
      <c r="G36" s="28"/>
      <c r="H36" s="29"/>
      <c r="I36" s="29"/>
      <c r="J36" s="30"/>
    </row>
    <row r="37" spans="7:10" ht="13.5" customHeight="1" x14ac:dyDescent="0.2">
      <c r="G37" s="28"/>
      <c r="H37" s="29"/>
      <c r="I37" s="29"/>
      <c r="J37" s="30"/>
    </row>
    <row r="38" spans="7:10" ht="13.5" customHeight="1" x14ac:dyDescent="0.2">
      <c r="G38" s="28"/>
      <c r="H38" s="29"/>
      <c r="I38" s="29"/>
      <c r="J38" s="30"/>
    </row>
    <row r="39" spans="7:10" ht="13.5" customHeight="1" x14ac:dyDescent="0.2">
      <c r="G39" s="28"/>
      <c r="H39" s="29"/>
      <c r="I39" s="29"/>
      <c r="J39" s="30"/>
    </row>
    <row r="40" spans="7:10" ht="13.5" customHeight="1" x14ac:dyDescent="0.2">
      <c r="G40" s="28"/>
      <c r="H40" s="29"/>
      <c r="I40" s="29"/>
      <c r="J40" s="30"/>
    </row>
    <row r="41" spans="7:10" ht="13.5" customHeight="1" x14ac:dyDescent="0.2">
      <c r="G41" s="28"/>
      <c r="H41" s="29"/>
      <c r="I41" s="29"/>
      <c r="J41" s="30"/>
    </row>
    <row r="42" spans="7:10" ht="13.5" customHeight="1" x14ac:dyDescent="0.2">
      <c r="G42" s="28"/>
      <c r="H42" s="29"/>
      <c r="I42" s="29"/>
      <c r="J42" s="30"/>
    </row>
    <row r="43" spans="7:10" ht="13.5" customHeight="1" x14ac:dyDescent="0.2">
      <c r="G43" s="28"/>
      <c r="H43" s="29"/>
      <c r="I43" s="29"/>
      <c r="J43" s="30"/>
    </row>
    <row r="44" spans="7:10" ht="13.5" customHeight="1" x14ac:dyDescent="0.2">
      <c r="G44" s="28"/>
      <c r="H44" s="29"/>
      <c r="I44" s="29"/>
      <c r="J44" s="30"/>
    </row>
    <row r="45" spans="7:10" ht="13.5" customHeight="1" x14ac:dyDescent="0.2">
      <c r="G45" s="28"/>
      <c r="H45" s="29"/>
      <c r="I45" s="29"/>
      <c r="J45" s="30"/>
    </row>
    <row r="46" spans="7:10" ht="13.5" customHeight="1" x14ac:dyDescent="0.2">
      <c r="G46" s="28"/>
      <c r="H46" s="29"/>
      <c r="I46" s="29"/>
      <c r="J46" s="30"/>
    </row>
    <row r="60" spans="7:10" ht="13.5" customHeight="1" x14ac:dyDescent="0.2">
      <c r="G60" s="25" t="s">
        <v>84</v>
      </c>
      <c r="H60" s="22">
        <v>1574977263.6700017</v>
      </c>
      <c r="I60" s="22">
        <v>2527474073.75</v>
      </c>
      <c r="J60" s="23">
        <v>1118652986.5200007</v>
      </c>
    </row>
    <row r="61" spans="7:10" ht="13.5" customHeight="1" x14ac:dyDescent="0.2">
      <c r="G61" s="26" t="s">
        <v>85</v>
      </c>
      <c r="H61" s="15">
        <v>138471016.73999995</v>
      </c>
      <c r="I61" s="15">
        <v>1263047761.8600004</v>
      </c>
      <c r="J61" s="15">
        <v>475260331.50999928</v>
      </c>
    </row>
    <row r="62" spans="7:10" ht="13.5" customHeight="1" x14ac:dyDescent="0.2">
      <c r="G62" s="27" t="s">
        <v>86</v>
      </c>
      <c r="H62" s="15">
        <v>988113829.09000182</v>
      </c>
      <c r="I62" s="15">
        <v>229091433.24000001</v>
      </c>
      <c r="J62" s="24">
        <v>45686366.800000004</v>
      </c>
    </row>
    <row r="63" spans="7:10" ht="13.5" customHeight="1" x14ac:dyDescent="0.2">
      <c r="G63" s="27" t="s">
        <v>18</v>
      </c>
      <c r="H63" s="15">
        <v>117549240.48999982</v>
      </c>
      <c r="I63" s="15">
        <v>309323029.38999999</v>
      </c>
      <c r="J63" s="24">
        <v>81086811.790000036</v>
      </c>
    </row>
    <row r="64" spans="7:10" ht="13.5" customHeight="1" x14ac:dyDescent="0.2">
      <c r="G64" s="28" t="s">
        <v>88</v>
      </c>
      <c r="H64" s="15">
        <v>156782584.70000011</v>
      </c>
      <c r="I64" s="15">
        <v>1302199.6099999999</v>
      </c>
      <c r="J64" s="24">
        <v>565583.07999999996</v>
      </c>
    </row>
    <row r="65" spans="7:10" ht="13.5" customHeight="1" x14ac:dyDescent="0.2">
      <c r="G65" s="28" t="s">
        <v>28</v>
      </c>
      <c r="H65" s="15">
        <v>96459.46</v>
      </c>
      <c r="I65" s="15">
        <v>29531268.169999994</v>
      </c>
      <c r="J65" s="24">
        <v>1280794.9700000002</v>
      </c>
    </row>
    <row r="66" spans="7:10" ht="13.5" customHeight="1" x14ac:dyDescent="0.2">
      <c r="G66" s="28" t="s">
        <v>91</v>
      </c>
      <c r="H66" s="15">
        <v>15997522.940000005</v>
      </c>
      <c r="I66" s="15">
        <v>83526689.75000003</v>
      </c>
      <c r="J66" s="15">
        <v>78375425.060000017</v>
      </c>
    </row>
    <row r="67" spans="7:10" ht="13.5" customHeight="1" x14ac:dyDescent="0.2">
      <c r="G67" s="28" t="s">
        <v>93</v>
      </c>
      <c r="H67" s="15">
        <v>0</v>
      </c>
      <c r="I67" s="15">
        <v>32126042.819999993</v>
      </c>
      <c r="J67" s="24">
        <v>0</v>
      </c>
    </row>
    <row r="68" spans="7:10" ht="13.5" customHeight="1" x14ac:dyDescent="0.2">
      <c r="G68" s="28" t="s">
        <v>94</v>
      </c>
      <c r="H68" s="15">
        <v>4593678.070000004</v>
      </c>
      <c r="I68" s="15">
        <v>39822839.029999994</v>
      </c>
      <c r="J68" s="15">
        <v>29947945.550000027</v>
      </c>
    </row>
    <row r="69" spans="7:10" ht="13.5" customHeight="1" x14ac:dyDescent="0.2">
      <c r="G69" s="28" t="s">
        <v>95</v>
      </c>
      <c r="H69" s="15">
        <v>153372932.17999989</v>
      </c>
      <c r="I69" s="15">
        <v>539702809.88</v>
      </c>
      <c r="J69" s="15">
        <v>406449727.75999922</v>
      </c>
    </row>
    <row r="70" spans="7:10" ht="13.5" customHeight="1" x14ac:dyDescent="0.2">
      <c r="H70" s="15"/>
      <c r="I70" s="15"/>
      <c r="J70" s="15"/>
    </row>
    <row r="72" spans="7:10" ht="13.5" customHeight="1" x14ac:dyDescent="0.2">
      <c r="G72" s="21" t="s">
        <v>62</v>
      </c>
      <c r="H72" s="22">
        <v>1574977263.6700017</v>
      </c>
      <c r="I72" s="22" t="e">
        <f>#REF!+#REF!+#REF!+#REF!</f>
        <v>#REF!</v>
      </c>
      <c r="J72" s="23">
        <v>1118652986.5200007</v>
      </c>
    </row>
    <row r="73" spans="7:10" ht="13.5" customHeight="1" x14ac:dyDescent="0.2">
      <c r="G73" s="41" t="s">
        <v>63</v>
      </c>
      <c r="H73" s="15">
        <v>100618982.86000001</v>
      </c>
      <c r="I73" s="22" t="e">
        <f>#REF!+#REF!+#REF!+#REF!</f>
        <v>#REF!</v>
      </c>
      <c r="J73" s="24">
        <v>344781715.83999962</v>
      </c>
    </row>
    <row r="74" spans="7:10" ht="13.5" customHeight="1" x14ac:dyDescent="0.2">
      <c r="G74" s="41" t="s">
        <v>64</v>
      </c>
      <c r="H74" s="15">
        <v>37852033.879999921</v>
      </c>
      <c r="I74" s="22" t="e">
        <f>#REF!+#REF!+#REF!+#REF!</f>
        <v>#REF!</v>
      </c>
      <c r="J74" s="24">
        <v>130478615.66999969</v>
      </c>
    </row>
    <row r="75" spans="7:10" ht="13.5" customHeight="1" x14ac:dyDescent="0.2">
      <c r="G75" s="41" t="s">
        <v>65</v>
      </c>
      <c r="H75" s="15">
        <v>988113829.09000182</v>
      </c>
      <c r="I75" s="22" t="e">
        <f>#REF!+#REF!+#REF!+#REF!</f>
        <v>#REF!</v>
      </c>
      <c r="J75" s="24">
        <v>45686366.800000004</v>
      </c>
    </row>
    <row r="76" spans="7:10" ht="13.5" customHeight="1" x14ac:dyDescent="0.2">
      <c r="G76" s="41" t="s">
        <v>66</v>
      </c>
      <c r="H76" s="15">
        <v>117549240.48999982</v>
      </c>
      <c r="I76" s="22" t="e">
        <f>#REF!+#REF!+#REF!+#REF!</f>
        <v>#REF!</v>
      </c>
      <c r="J76" s="24">
        <v>81086811.790000036</v>
      </c>
    </row>
    <row r="77" spans="7:10" ht="13.5" customHeight="1" x14ac:dyDescent="0.2">
      <c r="G77" s="41" t="s">
        <v>77</v>
      </c>
      <c r="H77" s="15">
        <v>156782584.70000011</v>
      </c>
      <c r="I77" s="22" t="e">
        <f>#REF!+#REF!+#REF!+#REF!</f>
        <v>#REF!</v>
      </c>
      <c r="J77" s="24">
        <v>565583.07999999996</v>
      </c>
    </row>
    <row r="78" spans="7:10" ht="13.5" customHeight="1" x14ac:dyDescent="0.2">
      <c r="G78" s="41" t="s">
        <v>67</v>
      </c>
      <c r="H78" s="15">
        <v>96459.46</v>
      </c>
      <c r="I78" s="22" t="e">
        <f>#REF!+#REF!+#REF!+#REF!</f>
        <v>#REF!</v>
      </c>
      <c r="J78" s="24">
        <v>1280794.9700000002</v>
      </c>
    </row>
    <row r="79" spans="7:10" ht="13.5" customHeight="1" x14ac:dyDescent="0.2">
      <c r="G79" s="41" t="s">
        <v>68</v>
      </c>
      <c r="H79" s="15">
        <v>1814327.8200000003</v>
      </c>
      <c r="I79" s="22" t="e">
        <f>#REF!+#REF!+#REF!+#REF!</f>
        <v>#REF!</v>
      </c>
      <c r="J79" s="24">
        <v>22535158.490000006</v>
      </c>
    </row>
    <row r="80" spans="7:10" ht="13.5" customHeight="1" x14ac:dyDescent="0.2">
      <c r="G80" s="41" t="s">
        <v>69</v>
      </c>
      <c r="H80" s="15">
        <v>14183195.120000005</v>
      </c>
      <c r="I80" s="22" t="e">
        <f>#REF!+#REF!+#REF!+#REF!</f>
        <v>#REF!</v>
      </c>
      <c r="J80" s="24">
        <v>55840266.570000015</v>
      </c>
    </row>
    <row r="81" spans="7:10" ht="13.5" customHeight="1" x14ac:dyDescent="0.2">
      <c r="G81" s="41" t="s">
        <v>70</v>
      </c>
      <c r="H81" s="15">
        <v>0</v>
      </c>
      <c r="I81" s="22" t="e">
        <f>#REF!+#REF!+#REF!+#REF!</f>
        <v>#REF!</v>
      </c>
      <c r="J81" s="24">
        <v>0</v>
      </c>
    </row>
    <row r="82" spans="7:10" ht="13.5" customHeight="1" x14ac:dyDescent="0.2">
      <c r="G82" s="2" t="s">
        <v>71</v>
      </c>
      <c r="H82" s="15">
        <v>5554358.9999999972</v>
      </c>
      <c r="I82" s="22" t="e">
        <f>#REF!+#REF!+#REF!+#REF!</f>
        <v>#REF!</v>
      </c>
      <c r="J82" s="24">
        <v>18770891.430000026</v>
      </c>
    </row>
    <row r="83" spans="7:10" ht="13.5" customHeight="1" x14ac:dyDescent="0.2">
      <c r="G83" s="41" t="s">
        <v>72</v>
      </c>
      <c r="H83" s="15">
        <v>720889.24000000022</v>
      </c>
      <c r="I83" s="22" t="e">
        <f>#REF!+#REF!+#REF!+#REF!</f>
        <v>#REF!</v>
      </c>
      <c r="J83" s="24">
        <v>14066039.990000006</v>
      </c>
    </row>
    <row r="84" spans="7:10" ht="13.5" customHeight="1" x14ac:dyDescent="0.2">
      <c r="G84" s="41" t="s">
        <v>73</v>
      </c>
      <c r="H84" s="15">
        <v>3872788.8300000033</v>
      </c>
      <c r="I84" s="22" t="e">
        <f>#REF!+#REF!+#REF!+#REF!</f>
        <v>#REF!</v>
      </c>
      <c r="J84" s="24">
        <v>15881905.560000019</v>
      </c>
    </row>
    <row r="85" spans="7:10" ht="13.5" customHeight="1" x14ac:dyDescent="0.2">
      <c r="G85" s="2" t="s">
        <v>74</v>
      </c>
      <c r="H85" s="15">
        <v>11634565.630000005</v>
      </c>
      <c r="I85" s="22" t="e">
        <f>#REF!+#REF!+#REF!+#REF!</f>
        <v>#REF!</v>
      </c>
      <c r="J85" s="24">
        <v>63936301.509999976</v>
      </c>
    </row>
    <row r="86" spans="7:10" ht="13.5" customHeight="1" x14ac:dyDescent="0.2">
      <c r="G86" s="2" t="s">
        <v>81</v>
      </c>
      <c r="H86" s="15">
        <v>45556.95</v>
      </c>
      <c r="I86" s="22" t="e">
        <f>#REF!+#REF!+#REF!+#REF!</f>
        <v>#REF!</v>
      </c>
      <c r="J86" s="24">
        <v>2834873.5100000002</v>
      </c>
    </row>
    <row r="87" spans="7:10" ht="13.5" customHeight="1" x14ac:dyDescent="0.2">
      <c r="G87" s="2" t="s">
        <v>82</v>
      </c>
      <c r="H87" s="15">
        <v>699188.27</v>
      </c>
      <c r="I87" s="22" t="e">
        <f>#REF!+#REF!+#REF!+#REF!</f>
        <v>#REF!</v>
      </c>
      <c r="J87" s="24">
        <v>4170104.4300000011</v>
      </c>
    </row>
    <row r="88" spans="7:10" ht="13.5" customHeight="1" x14ac:dyDescent="0.2">
      <c r="G88" s="2" t="s">
        <v>83</v>
      </c>
      <c r="H88" s="15">
        <v>135439262.32999989</v>
      </c>
      <c r="I88" s="22" t="e">
        <f>#REF!+#REF!+#REF!+#REF!</f>
        <v>#REF!</v>
      </c>
      <c r="J88" s="24">
        <v>316737556.87999922</v>
      </c>
    </row>
    <row r="98" spans="7:10" ht="38.25" customHeight="1" x14ac:dyDescent="0.2">
      <c r="H98" s="19" t="s">
        <v>78</v>
      </c>
      <c r="I98" s="19" t="s">
        <v>79</v>
      </c>
      <c r="J98" s="20" t="s">
        <v>80</v>
      </c>
    </row>
    <row r="100" spans="7:10" ht="13.5" customHeight="1" x14ac:dyDescent="0.2">
      <c r="G100" s="25" t="s">
        <v>84</v>
      </c>
      <c r="H100" s="37" t="e">
        <f>#REF!/#REF!*100</f>
        <v>#REF!</v>
      </c>
      <c r="I100" s="37" t="e">
        <f>#REF!/#REF!*100</f>
        <v>#REF!</v>
      </c>
      <c r="J100" s="38" t="e">
        <f>#REF!/#REF!*100</f>
        <v>#REF!</v>
      </c>
    </row>
    <row r="101" spans="7:10" ht="13.5" customHeight="1" x14ac:dyDescent="0.2">
      <c r="G101" s="31" t="s">
        <v>96</v>
      </c>
      <c r="H101" s="37" t="e">
        <f>#REF!/#REF!*100</f>
        <v>#REF!</v>
      </c>
      <c r="I101" s="37" t="e">
        <f>#REF!/#REF!*100</f>
        <v>#REF!</v>
      </c>
      <c r="J101" s="38" t="e">
        <f>#REF!/#REF!*100</f>
        <v>#REF!</v>
      </c>
    </row>
    <row r="102" spans="7:10" ht="13.5" customHeight="1" x14ac:dyDescent="0.2">
      <c r="G102" s="27" t="s">
        <v>97</v>
      </c>
      <c r="H102" s="37" t="e">
        <f>#REF!/#REF!*100</f>
        <v>#REF!</v>
      </c>
      <c r="I102" s="37" t="e">
        <f>#REF!/#REF!*100</f>
        <v>#REF!</v>
      </c>
      <c r="J102" s="38" t="e">
        <f>#REF!/#REF!*100</f>
        <v>#REF!</v>
      </c>
    </row>
    <row r="103" spans="7:10" ht="13.5" customHeight="1" x14ac:dyDescent="0.2">
      <c r="G103" s="27" t="s">
        <v>98</v>
      </c>
      <c r="H103" s="37" t="e">
        <f>#REF!/#REF!*100</f>
        <v>#REF!</v>
      </c>
      <c r="I103" s="37" t="e">
        <f>#REF!/#REF!*100</f>
        <v>#REF!</v>
      </c>
      <c r="J103" s="38" t="e">
        <f>#REF!/#REF!*100</f>
        <v>#REF!</v>
      </c>
    </row>
    <row r="104" spans="7:10" ht="13.5" customHeight="1" x14ac:dyDescent="0.2">
      <c r="G104" s="28" t="s">
        <v>99</v>
      </c>
      <c r="H104" s="37" t="e">
        <f>#REF!/#REF!*100</f>
        <v>#REF!</v>
      </c>
      <c r="I104" s="39" t="e">
        <f>#REF!/#REF!*100</f>
        <v>#REF!</v>
      </c>
      <c r="J104" s="38" t="e">
        <f>#REF!/#REF!*100</f>
        <v>#REF!</v>
      </c>
    </row>
    <row r="105" spans="7:10" ht="13.5" customHeight="1" x14ac:dyDescent="0.2">
      <c r="G105" s="28" t="s">
        <v>100</v>
      </c>
      <c r="H105" s="40" t="e">
        <f>#REF!/#REF!*100</f>
        <v>#REF!</v>
      </c>
      <c r="I105" s="39" t="e">
        <f>#REF!/#REF!*100</f>
        <v>#REF!</v>
      </c>
      <c r="J105" s="38" t="e">
        <f>#REF!/#REF!*100</f>
        <v>#REF!</v>
      </c>
    </row>
    <row r="106" spans="7:10" ht="13.5" customHeight="1" x14ac:dyDescent="0.2">
      <c r="G106" s="28" t="s">
        <v>101</v>
      </c>
      <c r="H106" s="37" t="e">
        <f>#REF!/#REF!*100</f>
        <v>#REF!</v>
      </c>
      <c r="I106" s="37" t="e">
        <f>#REF!/#REF!*100</f>
        <v>#REF!</v>
      </c>
      <c r="J106" s="38" t="e">
        <f>#REF!/#REF!*100</f>
        <v>#REF!</v>
      </c>
    </row>
    <row r="107" spans="7:10" ht="13.5" customHeight="1" x14ac:dyDescent="0.2">
      <c r="G107" s="28" t="s">
        <v>102</v>
      </c>
      <c r="H107" s="37" t="e">
        <f>#REF!/#REF!*100</f>
        <v>#REF!</v>
      </c>
      <c r="I107" s="37" t="e">
        <f>#REF!/#REF!*100</f>
        <v>#REF!</v>
      </c>
      <c r="J107" s="38" t="e">
        <f>#REF!/#REF!*100</f>
        <v>#REF!</v>
      </c>
    </row>
    <row r="108" spans="7:10" ht="13.5" customHeight="1" x14ac:dyDescent="0.2">
      <c r="G108" s="28" t="s">
        <v>103</v>
      </c>
      <c r="H108" s="37" t="e">
        <f>#REF!/#REF!*100</f>
        <v>#REF!</v>
      </c>
      <c r="I108" s="37" t="e">
        <f>#REF!/#REF!*100</f>
        <v>#REF!</v>
      </c>
      <c r="J108" s="38" t="e">
        <f>#REF!/#REF!*100</f>
        <v>#REF!</v>
      </c>
    </row>
    <row r="109" spans="7:10" ht="13.5" customHeight="1" x14ac:dyDescent="0.2">
      <c r="G109" s="28" t="s">
        <v>104</v>
      </c>
      <c r="H109" s="37" t="e">
        <f>#REF!/#REF!*100</f>
        <v>#REF!</v>
      </c>
      <c r="I109" s="37" t="e">
        <f>#REF!/#REF!*100</f>
        <v>#REF!</v>
      </c>
      <c r="J109" s="38" t="e">
        <f>#REF!/#REF!*100</f>
        <v>#REF!</v>
      </c>
    </row>
  </sheetData>
  <mergeCells count="2">
    <mergeCell ref="A4:A5"/>
    <mergeCell ref="B4:D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"/>
  <sheetViews>
    <sheetView zoomScaleNormal="100" workbookViewId="0">
      <selection activeCell="A3" sqref="A3"/>
    </sheetView>
  </sheetViews>
  <sheetFormatPr defaultRowHeight="13.5" customHeight="1" x14ac:dyDescent="0.2"/>
  <cols>
    <col min="1" max="1" width="23.25" style="2" customWidth="1"/>
    <col min="2" max="4" width="14.125" style="2" customWidth="1"/>
    <col min="5" max="6" width="9" style="2"/>
    <col min="7" max="9" width="13.125" style="2" customWidth="1"/>
    <col min="10" max="13" width="9" style="2"/>
    <col min="14" max="14" width="22.5" style="2" customWidth="1"/>
    <col min="15" max="17" width="11.25" style="2" customWidth="1"/>
    <col min="18" max="16384" width="9" style="2"/>
  </cols>
  <sheetData>
    <row r="1" spans="1:17" ht="13.5" customHeight="1" x14ac:dyDescent="0.2">
      <c r="A1" s="16" t="s">
        <v>183</v>
      </c>
      <c r="B1" s="3"/>
    </row>
    <row r="2" spans="1:17" ht="13.5" customHeight="1" x14ac:dyDescent="0.2">
      <c r="A2" s="45" t="s">
        <v>124</v>
      </c>
      <c r="B2" s="3"/>
    </row>
    <row r="3" spans="1:17" ht="13.5" customHeight="1" x14ac:dyDescent="0.2">
      <c r="B3" s="3"/>
      <c r="N3" s="2" t="s">
        <v>159</v>
      </c>
    </row>
    <row r="4" spans="1:17" ht="13.5" customHeight="1" x14ac:dyDescent="0.2">
      <c r="A4" s="161" t="s">
        <v>29</v>
      </c>
      <c r="B4" s="161" t="s">
        <v>118</v>
      </c>
      <c r="C4" s="161"/>
      <c r="D4" s="161"/>
    </row>
    <row r="5" spans="1:17" ht="36" customHeight="1" x14ac:dyDescent="0.2">
      <c r="A5" s="161"/>
      <c r="B5" s="46" t="s">
        <v>112</v>
      </c>
      <c r="C5" s="47" t="s">
        <v>113</v>
      </c>
      <c r="D5" s="47" t="s">
        <v>110</v>
      </c>
      <c r="N5" s="77" t="s">
        <v>158</v>
      </c>
      <c r="O5" s="47" t="s">
        <v>110</v>
      </c>
      <c r="P5" s="47" t="s">
        <v>113</v>
      </c>
      <c r="Q5" s="46" t="s">
        <v>112</v>
      </c>
    </row>
    <row r="6" spans="1:17" ht="13.5" customHeight="1" x14ac:dyDescent="0.2">
      <c r="A6" s="134" t="s">
        <v>14</v>
      </c>
      <c r="B6" s="135">
        <v>1296576971.8900001</v>
      </c>
      <c r="C6" s="135">
        <v>2568189141.1000004</v>
      </c>
      <c r="D6" s="135">
        <v>1602845520.6800005</v>
      </c>
      <c r="N6" s="78" t="s">
        <v>87</v>
      </c>
      <c r="O6" s="68">
        <v>0.54060022560526766</v>
      </c>
      <c r="P6" s="68">
        <v>0.7875656761805625</v>
      </c>
      <c r="Q6" s="68">
        <v>0.79043627929476101</v>
      </c>
    </row>
    <row r="7" spans="1:17" ht="13.5" customHeight="1" x14ac:dyDescent="0.2">
      <c r="A7" s="123" t="s">
        <v>87</v>
      </c>
      <c r="B7" s="136">
        <v>1024861477.4799997</v>
      </c>
      <c r="C7" s="136">
        <v>2022617617.4699998</v>
      </c>
      <c r="D7" s="136">
        <v>866498650.09000099</v>
      </c>
      <c r="N7" s="79" t="s">
        <v>89</v>
      </c>
      <c r="O7" s="71">
        <v>0.40133254757270292</v>
      </c>
      <c r="P7" s="71">
        <v>4.8314406612144672E-2</v>
      </c>
      <c r="Q7" s="71">
        <v>0.13196511233774713</v>
      </c>
    </row>
    <row r="8" spans="1:17" ht="13.5" customHeight="1" x14ac:dyDescent="0.2">
      <c r="A8" s="123" t="s">
        <v>89</v>
      </c>
      <c r="B8" s="136">
        <v>171102925.74999988</v>
      </c>
      <c r="C8" s="136">
        <v>124080534.42</v>
      </c>
      <c r="D8" s="136">
        <v>643274076.18000007</v>
      </c>
      <c r="N8" s="79" t="s">
        <v>111</v>
      </c>
      <c r="O8" s="71">
        <v>1.2436124219596302E-4</v>
      </c>
      <c r="P8" s="71">
        <v>2.9342382301220759E-3</v>
      </c>
      <c r="Q8" s="71">
        <v>1.3514439774800033E-3</v>
      </c>
    </row>
    <row r="9" spans="1:17" ht="13.5" customHeight="1" x14ac:dyDescent="0.2">
      <c r="A9" s="123" t="s">
        <v>90</v>
      </c>
      <c r="B9" s="136">
        <v>1752251.1400000001</v>
      </c>
      <c r="C9" s="136">
        <v>7535678.7599999998</v>
      </c>
      <c r="D9" s="136">
        <v>199331.86000000002</v>
      </c>
      <c r="G9" s="44"/>
      <c r="H9" s="44"/>
      <c r="N9" s="80" t="s">
        <v>33</v>
      </c>
      <c r="O9" s="75">
        <v>5.7942865579833816E-2</v>
      </c>
      <c r="P9" s="75">
        <v>0.16118567897717051</v>
      </c>
      <c r="Q9" s="75">
        <v>7.6247164390011349E-2</v>
      </c>
    </row>
    <row r="10" spans="1:17" ht="13.5" customHeight="1" x14ac:dyDescent="0.2">
      <c r="A10" s="137" t="s">
        <v>92</v>
      </c>
      <c r="B10" s="138">
        <v>98860317.519999966</v>
      </c>
      <c r="C10" s="138">
        <v>413955310.44999993</v>
      </c>
      <c r="D10" s="138">
        <v>92873462.550000012</v>
      </c>
      <c r="G10" s="44"/>
      <c r="H10" s="44"/>
    </row>
    <row r="11" spans="1:17" ht="13.5" customHeight="1" x14ac:dyDescent="0.2">
      <c r="A11" s="63" t="s">
        <v>119</v>
      </c>
      <c r="B11" s="65"/>
      <c r="C11" s="65"/>
      <c r="D11" s="65"/>
      <c r="G11" s="44"/>
      <c r="H11" s="44"/>
    </row>
    <row r="12" spans="1:17" ht="13.5" customHeight="1" x14ac:dyDescent="0.2">
      <c r="A12" s="139" t="s">
        <v>87</v>
      </c>
      <c r="B12" s="129">
        <v>0.79043627929476101</v>
      </c>
      <c r="C12" s="129">
        <v>0.7875656761805625</v>
      </c>
      <c r="D12" s="129">
        <v>0.54060022560526766</v>
      </c>
      <c r="G12" s="44"/>
      <c r="H12" s="44"/>
    </row>
    <row r="13" spans="1:17" ht="13.5" customHeight="1" x14ac:dyDescent="0.2">
      <c r="A13" s="123" t="s">
        <v>89</v>
      </c>
      <c r="B13" s="131">
        <v>0.13196511233774713</v>
      </c>
      <c r="C13" s="131">
        <v>4.8314406612144672E-2</v>
      </c>
      <c r="D13" s="131">
        <v>0.40133254757270292</v>
      </c>
      <c r="G13" s="43"/>
      <c r="H13" s="43"/>
    </row>
    <row r="14" spans="1:17" ht="13.5" customHeight="1" x14ac:dyDescent="0.2">
      <c r="A14" s="123" t="s">
        <v>111</v>
      </c>
      <c r="B14" s="131">
        <v>1.3514439774800033E-3</v>
      </c>
      <c r="C14" s="131">
        <v>2.9342382301220759E-3</v>
      </c>
      <c r="D14" s="131">
        <v>1.2436124219596302E-4</v>
      </c>
      <c r="G14" s="43"/>
      <c r="H14" s="43"/>
    </row>
    <row r="15" spans="1:17" ht="13.5" customHeight="1" x14ac:dyDescent="0.2">
      <c r="A15" s="137" t="s">
        <v>33</v>
      </c>
      <c r="B15" s="133">
        <v>7.6247164390011349E-2</v>
      </c>
      <c r="C15" s="133">
        <v>0.16118567897717051</v>
      </c>
      <c r="D15" s="133">
        <v>5.7942865579833816E-2</v>
      </c>
    </row>
    <row r="76" spans="7:9" ht="13.5" customHeight="1" x14ac:dyDescent="0.2">
      <c r="G76" s="22"/>
      <c r="H76" s="23"/>
      <c r="I76" s="22"/>
    </row>
    <row r="77" spans="7:9" ht="13.5" customHeight="1" x14ac:dyDescent="0.2">
      <c r="G77" s="15"/>
      <c r="H77" s="24"/>
      <c r="I77" s="15"/>
    </row>
    <row r="78" spans="7:9" ht="13.5" customHeight="1" x14ac:dyDescent="0.2">
      <c r="G78" s="15"/>
      <c r="H78" s="24"/>
      <c r="I78" s="15"/>
    </row>
    <row r="79" spans="7:9" ht="13.5" customHeight="1" x14ac:dyDescent="0.2">
      <c r="G79" s="15"/>
      <c r="H79" s="24"/>
      <c r="I79" s="15"/>
    </row>
    <row r="80" spans="7:9" ht="13.5" customHeight="1" x14ac:dyDescent="0.2">
      <c r="G80" s="15"/>
      <c r="H80" s="24"/>
      <c r="I80" s="15"/>
    </row>
    <row r="81" spans="7:9" ht="13.5" customHeight="1" x14ac:dyDescent="0.2">
      <c r="G81" s="15"/>
      <c r="H81" s="24"/>
      <c r="I81" s="15"/>
    </row>
    <row r="82" spans="7:9" ht="13.5" customHeight="1" x14ac:dyDescent="0.2">
      <c r="G82" s="15"/>
      <c r="H82" s="24"/>
      <c r="I82" s="15"/>
    </row>
    <row r="83" spans="7:9" ht="13.5" customHeight="1" x14ac:dyDescent="0.2">
      <c r="G83" s="15"/>
      <c r="H83" s="24"/>
      <c r="I83" s="15"/>
    </row>
    <row r="84" spans="7:9" ht="13.5" customHeight="1" x14ac:dyDescent="0.2">
      <c r="G84" s="15"/>
      <c r="H84" s="24"/>
      <c r="I84" s="15"/>
    </row>
    <row r="85" spans="7:9" ht="13.5" customHeight="1" x14ac:dyDescent="0.2">
      <c r="G85" s="15"/>
      <c r="H85" s="24"/>
      <c r="I85" s="15"/>
    </row>
    <row r="114" ht="38.25" customHeight="1" x14ac:dyDescent="0.2"/>
  </sheetData>
  <mergeCells count="2">
    <mergeCell ref="A4:A5"/>
    <mergeCell ref="B4:D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Views>
    <sheetView zoomScaleNormal="100" workbookViewId="0">
      <selection activeCell="A3" sqref="A3"/>
    </sheetView>
  </sheetViews>
  <sheetFormatPr defaultRowHeight="13.5" customHeight="1" x14ac:dyDescent="0.2"/>
  <cols>
    <col min="1" max="1" width="19.625" style="2" customWidth="1"/>
    <col min="2" max="5" width="14.375" style="2" customWidth="1"/>
    <col min="6" max="8" width="13.5" style="2" customWidth="1"/>
    <col min="9" max="9" width="13.375" style="2" customWidth="1"/>
    <col min="10" max="13" width="9" style="2"/>
    <col min="14" max="14" width="20.5" style="2" customWidth="1"/>
    <col min="15" max="17" width="10" style="2" customWidth="1"/>
    <col min="18" max="18" width="12" style="2" customWidth="1"/>
    <col min="19" max="16384" width="9" style="2"/>
  </cols>
  <sheetData>
    <row r="1" spans="1:18" ht="13.5" customHeight="1" x14ac:dyDescent="0.2">
      <c r="A1" s="16" t="s">
        <v>183</v>
      </c>
      <c r="C1" s="3"/>
    </row>
    <row r="2" spans="1:18" ht="13.5" customHeight="1" x14ac:dyDescent="0.2">
      <c r="A2" s="45" t="s">
        <v>125</v>
      </c>
      <c r="C2" s="3"/>
    </row>
    <row r="3" spans="1:18" ht="13.5" customHeight="1" x14ac:dyDescent="0.2">
      <c r="C3" s="3"/>
    </row>
    <row r="4" spans="1:18" ht="13.5" customHeight="1" x14ac:dyDescent="0.2">
      <c r="A4" s="161" t="s">
        <v>29</v>
      </c>
      <c r="B4" s="161" t="s">
        <v>49</v>
      </c>
      <c r="C4" s="161"/>
      <c r="D4" s="161"/>
      <c r="E4" s="161"/>
      <c r="N4" s="2" t="s">
        <v>160</v>
      </c>
    </row>
    <row r="5" spans="1:18" ht="53.25" customHeight="1" x14ac:dyDescent="0.2">
      <c r="A5" s="162"/>
      <c r="B5" s="47" t="s">
        <v>114</v>
      </c>
      <c r="C5" s="47" t="s">
        <v>115</v>
      </c>
      <c r="D5" s="47" t="s">
        <v>26</v>
      </c>
      <c r="E5" s="47" t="s">
        <v>116</v>
      </c>
      <c r="N5" s="81" t="s">
        <v>84</v>
      </c>
      <c r="O5" s="47" t="s">
        <v>116</v>
      </c>
      <c r="P5" s="47" t="s">
        <v>26</v>
      </c>
      <c r="Q5" s="47" t="s">
        <v>115</v>
      </c>
      <c r="R5" s="47" t="s">
        <v>114</v>
      </c>
    </row>
    <row r="6" spans="1:18" ht="13.5" customHeight="1" x14ac:dyDescent="0.2">
      <c r="A6" s="140" t="s">
        <v>12</v>
      </c>
      <c r="B6" s="120">
        <v>1223571760.0100002</v>
      </c>
      <c r="C6" s="120">
        <v>1155266463.1299999</v>
      </c>
      <c r="D6" s="120">
        <v>23950580.520000003</v>
      </c>
      <c r="E6" s="120">
        <v>124685270.09000002</v>
      </c>
      <c r="N6" s="67" t="s">
        <v>107</v>
      </c>
      <c r="O6" s="68">
        <v>0.40345216819668672</v>
      </c>
      <c r="P6" s="68">
        <v>0.66468625496180656</v>
      </c>
      <c r="Q6" s="68">
        <v>0.49182355255998023</v>
      </c>
      <c r="R6" s="68">
        <v>0.51377153521004981</v>
      </c>
    </row>
    <row r="7" spans="1:18" ht="13.5" customHeight="1" x14ac:dyDescent="0.2">
      <c r="A7" s="141" t="s">
        <v>85</v>
      </c>
      <c r="B7" s="122">
        <v>628636341.5800004</v>
      </c>
      <c r="C7" s="122">
        <v>568187256.04999995</v>
      </c>
      <c r="D7" s="122">
        <v>15919621.67</v>
      </c>
      <c r="E7" s="122">
        <v>50304542.560000002</v>
      </c>
      <c r="N7" s="70" t="s">
        <v>17</v>
      </c>
      <c r="O7" s="71">
        <v>1.0772484424427008E-2</v>
      </c>
      <c r="P7" s="71">
        <v>3.6593028685385699E-2</v>
      </c>
      <c r="Q7" s="71">
        <v>0.10200651368405486</v>
      </c>
      <c r="R7" s="71">
        <v>8.9105631654255349E-2</v>
      </c>
    </row>
    <row r="8" spans="1:18" ht="13.5" customHeight="1" x14ac:dyDescent="0.2">
      <c r="A8" s="142" t="s">
        <v>86</v>
      </c>
      <c r="B8" s="122">
        <v>109027134.55</v>
      </c>
      <c r="C8" s="122">
        <v>117844704.28</v>
      </c>
      <c r="D8" s="122">
        <v>876424.28</v>
      </c>
      <c r="E8" s="122">
        <v>1343170.13</v>
      </c>
      <c r="N8" s="70" t="s">
        <v>18</v>
      </c>
      <c r="O8" s="71">
        <v>4.8497152836379596E-3</v>
      </c>
      <c r="P8" s="71">
        <v>1.0689798511823294E-2</v>
      </c>
      <c r="Q8" s="71">
        <v>0.12415689419511833</v>
      </c>
      <c r="R8" s="71">
        <v>0.13487400070319636</v>
      </c>
    </row>
    <row r="9" spans="1:18" ht="13.5" customHeight="1" x14ac:dyDescent="0.2">
      <c r="A9" s="142" t="s">
        <v>18</v>
      </c>
      <c r="B9" s="122">
        <v>165028018.41999999</v>
      </c>
      <c r="C9" s="122">
        <v>143434296.02999997</v>
      </c>
      <c r="D9" s="122">
        <v>256026.88</v>
      </c>
      <c r="E9" s="122">
        <v>604688.06000000006</v>
      </c>
      <c r="N9" s="73" t="s">
        <v>88</v>
      </c>
      <c r="O9" s="71">
        <v>1.2748590100920716E-3</v>
      </c>
      <c r="P9" s="71">
        <v>0</v>
      </c>
      <c r="Q9" s="71">
        <v>1.2330215975807371E-4</v>
      </c>
      <c r="R9" s="71">
        <v>8.1793046612306617E-4</v>
      </c>
    </row>
    <row r="10" spans="1:18" ht="13.5" customHeight="1" x14ac:dyDescent="0.2">
      <c r="A10" s="143" t="s">
        <v>88</v>
      </c>
      <c r="B10" s="122">
        <v>1000796.62</v>
      </c>
      <c r="C10" s="122">
        <v>142446.85</v>
      </c>
      <c r="D10" s="144" t="s">
        <v>58</v>
      </c>
      <c r="E10" s="122">
        <v>158956.14000000001</v>
      </c>
      <c r="N10" s="73" t="s">
        <v>28</v>
      </c>
      <c r="O10" s="71">
        <v>0</v>
      </c>
      <c r="P10" s="71">
        <v>4.2354046456323638E-4</v>
      </c>
      <c r="Q10" s="71">
        <v>1.4925389302207851E-2</v>
      </c>
      <c r="R10" s="71">
        <v>1.0034820041858145E-2</v>
      </c>
    </row>
    <row r="11" spans="1:18" ht="13.5" customHeight="1" x14ac:dyDescent="0.2">
      <c r="A11" s="143" t="s">
        <v>28</v>
      </c>
      <c r="B11" s="122">
        <v>12278322.419999994</v>
      </c>
      <c r="C11" s="122">
        <v>17242801.710000001</v>
      </c>
      <c r="D11" s="122">
        <v>10144.040000000001</v>
      </c>
      <c r="E11" s="144" t="s">
        <v>58</v>
      </c>
      <c r="N11" s="73" t="s">
        <v>19</v>
      </c>
      <c r="O11" s="71">
        <v>4.921991030352027E-2</v>
      </c>
      <c r="P11" s="71">
        <v>3.4057342757051468E-2</v>
      </c>
      <c r="Q11" s="71">
        <v>3.0243158297297856E-2</v>
      </c>
      <c r="R11" s="71">
        <v>3.4027503454035039E-2</v>
      </c>
    </row>
    <row r="12" spans="1:18" ht="13.5" customHeight="1" x14ac:dyDescent="0.2">
      <c r="A12" s="143" t="s">
        <v>91</v>
      </c>
      <c r="B12" s="122">
        <v>41635092.290000014</v>
      </c>
      <c r="C12" s="122">
        <v>34938906.520000003</v>
      </c>
      <c r="D12" s="122">
        <v>815693.13000000012</v>
      </c>
      <c r="E12" s="122">
        <v>6136997.8099999996</v>
      </c>
      <c r="F12" s="29"/>
      <c r="G12" s="29"/>
      <c r="H12" s="29"/>
      <c r="N12" s="73" t="s">
        <v>32</v>
      </c>
      <c r="O12" s="71">
        <v>6.8907803093326864E-2</v>
      </c>
      <c r="P12" s="71">
        <v>3.8774116528178408E-2</v>
      </c>
      <c r="Q12" s="71">
        <v>9.6586192849124376E-3</v>
      </c>
      <c r="R12" s="71">
        <v>9.3556533536753375E-3</v>
      </c>
    </row>
    <row r="13" spans="1:18" ht="13.5" customHeight="1" x14ac:dyDescent="0.2">
      <c r="A13" s="143" t="s">
        <v>93</v>
      </c>
      <c r="B13" s="122">
        <v>11447313.239999995</v>
      </c>
      <c r="C13" s="122">
        <v>11158278.939999999</v>
      </c>
      <c r="D13" s="122">
        <v>928662.6</v>
      </c>
      <c r="E13" s="122">
        <v>8591788.0399999991</v>
      </c>
      <c r="F13" s="45"/>
      <c r="G13" s="29"/>
      <c r="H13" s="29"/>
      <c r="N13" s="73" t="s">
        <v>108</v>
      </c>
      <c r="O13" s="71">
        <v>2.0693671178139722E-2</v>
      </c>
      <c r="P13" s="71">
        <v>1.6664061218337432E-2</v>
      </c>
      <c r="Q13" s="71">
        <v>1.4989367260851046E-2</v>
      </c>
      <c r="R13" s="71">
        <v>1.5958864406808802E-2</v>
      </c>
    </row>
    <row r="14" spans="1:18" ht="13.5" customHeight="1" x14ac:dyDescent="0.2">
      <c r="A14" s="143" t="s">
        <v>94</v>
      </c>
      <c r="B14" s="122">
        <v>19526815.809999995</v>
      </c>
      <c r="C14" s="122">
        <v>17316713.300000001</v>
      </c>
      <c r="D14" s="122">
        <v>399113.94000000006</v>
      </c>
      <c r="E14" s="122">
        <v>2580195.98</v>
      </c>
      <c r="F14" s="32"/>
      <c r="G14" s="29"/>
      <c r="H14" s="29"/>
      <c r="N14" s="74" t="s">
        <v>109</v>
      </c>
      <c r="O14" s="75">
        <v>0.44082938851016912</v>
      </c>
      <c r="P14" s="75">
        <v>0.19811185687285374</v>
      </c>
      <c r="Q14" s="75">
        <v>0.21207320325581938</v>
      </c>
      <c r="R14" s="75">
        <v>0.19205406070999823</v>
      </c>
    </row>
    <row r="15" spans="1:18" ht="13.5" customHeight="1" x14ac:dyDescent="0.2">
      <c r="A15" s="145" t="s">
        <v>95</v>
      </c>
      <c r="B15" s="126">
        <v>234991925.07999995</v>
      </c>
      <c r="C15" s="126">
        <v>245001059.45000002</v>
      </c>
      <c r="D15" s="126">
        <v>4744893.9799999995</v>
      </c>
      <c r="E15" s="126">
        <v>54964931.36999999</v>
      </c>
      <c r="F15" s="29"/>
      <c r="G15" s="29"/>
      <c r="H15" s="29"/>
    </row>
    <row r="16" spans="1:18" ht="13.5" customHeight="1" x14ac:dyDescent="0.2">
      <c r="A16" s="63" t="s">
        <v>119</v>
      </c>
      <c r="B16" s="65"/>
      <c r="C16" s="65"/>
      <c r="D16" s="65"/>
      <c r="E16" s="65"/>
      <c r="F16" s="29"/>
      <c r="G16" s="29"/>
      <c r="H16" s="29"/>
    </row>
    <row r="17" spans="1:8" ht="13.5" customHeight="1" x14ac:dyDescent="0.2">
      <c r="A17" s="146" t="s">
        <v>107</v>
      </c>
      <c r="B17" s="129">
        <v>0.51377153521004981</v>
      </c>
      <c r="C17" s="129">
        <v>0.49182355255998023</v>
      </c>
      <c r="D17" s="129">
        <v>0.66468625496180656</v>
      </c>
      <c r="E17" s="129">
        <v>0.40345216819668672</v>
      </c>
      <c r="F17" s="29"/>
      <c r="G17" s="29"/>
      <c r="H17" s="29"/>
    </row>
    <row r="18" spans="1:8" ht="13.5" customHeight="1" x14ac:dyDescent="0.2">
      <c r="A18" s="142" t="s">
        <v>17</v>
      </c>
      <c r="B18" s="131">
        <v>8.9105631654255349E-2</v>
      </c>
      <c r="C18" s="131">
        <v>0.10200651368405486</v>
      </c>
      <c r="D18" s="131">
        <v>3.6593028685385699E-2</v>
      </c>
      <c r="E18" s="131">
        <v>1.0772484424427008E-2</v>
      </c>
      <c r="F18" s="29"/>
      <c r="G18" s="29"/>
      <c r="H18" s="29"/>
    </row>
    <row r="19" spans="1:8" ht="13.5" customHeight="1" x14ac:dyDescent="0.2">
      <c r="A19" s="142" t="s">
        <v>18</v>
      </c>
      <c r="B19" s="131">
        <v>0.13487400070319636</v>
      </c>
      <c r="C19" s="131">
        <v>0.12415689419511833</v>
      </c>
      <c r="D19" s="131">
        <v>1.0689798511823294E-2</v>
      </c>
      <c r="E19" s="131">
        <v>4.8497152836379596E-3</v>
      </c>
      <c r="F19" s="29"/>
      <c r="G19" s="29"/>
      <c r="H19" s="29"/>
    </row>
    <row r="20" spans="1:8" ht="13.5" customHeight="1" x14ac:dyDescent="0.2">
      <c r="A20" s="143" t="s">
        <v>88</v>
      </c>
      <c r="B20" s="131">
        <v>8.1793046612306617E-4</v>
      </c>
      <c r="C20" s="131">
        <v>1.2330215975807371E-4</v>
      </c>
      <c r="D20" s="144" t="s">
        <v>58</v>
      </c>
      <c r="E20" s="131">
        <v>1.2748590100920716E-3</v>
      </c>
      <c r="F20" s="29"/>
      <c r="G20" s="29"/>
      <c r="H20" s="29"/>
    </row>
    <row r="21" spans="1:8" ht="13.5" customHeight="1" x14ac:dyDescent="0.2">
      <c r="A21" s="143" t="s">
        <v>28</v>
      </c>
      <c r="B21" s="131">
        <v>1.0034820041858145E-2</v>
      </c>
      <c r="C21" s="131">
        <v>1.4925389302207851E-2</v>
      </c>
      <c r="D21" s="131">
        <v>4.2354046456323638E-4</v>
      </c>
      <c r="E21" s="144" t="s">
        <v>58</v>
      </c>
      <c r="F21" s="29"/>
      <c r="G21" s="29"/>
    </row>
    <row r="22" spans="1:8" ht="13.5" customHeight="1" x14ac:dyDescent="0.2">
      <c r="A22" s="143" t="s">
        <v>19</v>
      </c>
      <c r="B22" s="131">
        <v>3.4027503454035039E-2</v>
      </c>
      <c r="C22" s="131">
        <v>3.0243158297297856E-2</v>
      </c>
      <c r="D22" s="131">
        <v>3.4057342757051468E-2</v>
      </c>
      <c r="E22" s="131">
        <v>4.921991030352027E-2</v>
      </c>
      <c r="F22" s="29"/>
      <c r="G22" s="2" t="s">
        <v>105</v>
      </c>
      <c r="H22" s="29"/>
    </row>
    <row r="23" spans="1:8" ht="13.5" customHeight="1" x14ac:dyDescent="0.2">
      <c r="A23" s="143" t="s">
        <v>32</v>
      </c>
      <c r="B23" s="131">
        <v>9.3556533536753375E-3</v>
      </c>
      <c r="C23" s="131">
        <v>9.6586192849124376E-3</v>
      </c>
      <c r="D23" s="131">
        <v>3.8774116528178408E-2</v>
      </c>
      <c r="E23" s="131">
        <v>6.8907803093326864E-2</v>
      </c>
      <c r="F23" s="29"/>
      <c r="G23" s="29"/>
      <c r="H23" s="29"/>
    </row>
    <row r="24" spans="1:8" ht="13.5" customHeight="1" x14ac:dyDescent="0.2">
      <c r="A24" s="143" t="s">
        <v>108</v>
      </c>
      <c r="B24" s="131">
        <v>1.5958864406808802E-2</v>
      </c>
      <c r="C24" s="131">
        <v>1.4989367260851046E-2</v>
      </c>
      <c r="D24" s="131">
        <v>1.6664061218337432E-2</v>
      </c>
      <c r="E24" s="131">
        <v>2.0693671178139722E-2</v>
      </c>
      <c r="F24" s="29"/>
      <c r="G24" s="29"/>
      <c r="H24" s="29"/>
    </row>
    <row r="25" spans="1:8" ht="13.5" customHeight="1" x14ac:dyDescent="0.2">
      <c r="A25" s="145" t="s">
        <v>109</v>
      </c>
      <c r="B25" s="133">
        <v>0.19205406070999823</v>
      </c>
      <c r="C25" s="133">
        <v>0.21207320325581938</v>
      </c>
      <c r="D25" s="133">
        <v>0.19811185687285374</v>
      </c>
      <c r="E25" s="133">
        <v>0.44082938851016912</v>
      </c>
      <c r="F25" s="29"/>
      <c r="G25" s="29"/>
      <c r="H25" s="29"/>
    </row>
    <row r="26" spans="1:8" ht="13.5" customHeight="1" x14ac:dyDescent="0.2">
      <c r="C26" s="3"/>
      <c r="D26" s="18"/>
      <c r="E26" s="18"/>
      <c r="F26" s="29"/>
      <c r="G26" s="29"/>
      <c r="H26" s="29"/>
    </row>
    <row r="27" spans="1:8" ht="13.5" customHeight="1" x14ac:dyDescent="0.2">
      <c r="A27" s="2" t="s">
        <v>105</v>
      </c>
      <c r="C27" s="3"/>
      <c r="D27" s="18"/>
      <c r="E27" s="18"/>
      <c r="F27" s="29"/>
      <c r="G27" s="29"/>
      <c r="H27" s="29"/>
    </row>
    <row r="28" spans="1:8" ht="13.5" customHeight="1" x14ac:dyDescent="0.2">
      <c r="E28" s="29"/>
      <c r="F28" s="29"/>
      <c r="G28" s="29"/>
      <c r="H28" s="29"/>
    </row>
    <row r="29" spans="1:8" ht="13.5" customHeight="1" x14ac:dyDescent="0.2">
      <c r="E29" s="29"/>
      <c r="F29" s="29"/>
      <c r="G29" s="29"/>
      <c r="H29" s="29"/>
    </row>
    <row r="30" spans="1:8" ht="13.5" customHeight="1" x14ac:dyDescent="0.2">
      <c r="E30" s="29"/>
      <c r="F30" s="29"/>
      <c r="G30" s="29"/>
      <c r="H30" s="29"/>
    </row>
    <row r="31" spans="1:8" ht="13.5" customHeight="1" x14ac:dyDescent="0.2">
      <c r="E31" s="29"/>
      <c r="F31" s="29"/>
      <c r="G31" s="29"/>
      <c r="H31" s="29"/>
    </row>
    <row r="32" spans="1:8" ht="13.5" customHeight="1" x14ac:dyDescent="0.2">
      <c r="E32" s="29"/>
      <c r="F32" s="29"/>
      <c r="G32" s="29"/>
      <c r="H32" s="29"/>
    </row>
    <row r="33" spans="5:8" ht="13.5" customHeight="1" x14ac:dyDescent="0.2">
      <c r="E33" s="29"/>
      <c r="G33" s="29"/>
      <c r="H33" s="29"/>
    </row>
    <row r="34" spans="5:8" ht="13.5" customHeight="1" x14ac:dyDescent="0.2">
      <c r="E34" s="29"/>
      <c r="F34" s="29"/>
      <c r="G34" s="29"/>
      <c r="H34" s="29"/>
    </row>
    <row r="35" spans="5:8" ht="13.5" customHeight="1" x14ac:dyDescent="0.2">
      <c r="E35" s="29"/>
      <c r="G35" s="29"/>
      <c r="H35" s="29"/>
    </row>
    <row r="36" spans="5:8" ht="13.5" customHeight="1" x14ac:dyDescent="0.2">
      <c r="E36" s="29"/>
      <c r="G36" s="29"/>
      <c r="H36" s="29"/>
    </row>
    <row r="37" spans="5:8" ht="13.5" customHeight="1" x14ac:dyDescent="0.2">
      <c r="E37" s="29"/>
      <c r="F37" s="45"/>
      <c r="G37" s="29"/>
      <c r="H37" s="29"/>
    </row>
    <row r="38" spans="5:8" ht="13.5" customHeight="1" x14ac:dyDescent="0.2">
      <c r="E38" s="29"/>
      <c r="F38" s="29"/>
      <c r="G38" s="29"/>
      <c r="H38" s="29"/>
    </row>
    <row r="39" spans="5:8" ht="13.5" customHeight="1" x14ac:dyDescent="0.2">
      <c r="E39" s="29"/>
      <c r="G39" s="29"/>
      <c r="H39" s="29"/>
    </row>
    <row r="40" spans="5:8" ht="13.5" customHeight="1" x14ac:dyDescent="0.2">
      <c r="E40" s="29"/>
      <c r="G40" s="29"/>
      <c r="H40" s="29"/>
    </row>
    <row r="41" spans="5:8" ht="13.5" customHeight="1" x14ac:dyDescent="0.2">
      <c r="E41" s="29"/>
      <c r="F41" s="33"/>
      <c r="G41" s="29"/>
      <c r="H41" s="29"/>
    </row>
    <row r="42" spans="5:8" ht="13.5" customHeight="1" x14ac:dyDescent="0.2">
      <c r="E42" s="29"/>
      <c r="F42" s="29"/>
      <c r="G42" s="29"/>
      <c r="H42" s="29"/>
    </row>
    <row r="43" spans="5:8" ht="13.5" customHeight="1" x14ac:dyDescent="0.2">
      <c r="E43" s="29"/>
      <c r="F43" s="29"/>
      <c r="G43" s="29"/>
      <c r="H43" s="29"/>
    </row>
    <row r="44" spans="5:8" ht="13.5" customHeight="1" x14ac:dyDescent="0.2">
      <c r="E44" s="29"/>
      <c r="F44" s="29"/>
      <c r="G44" s="29"/>
      <c r="H44" s="29"/>
    </row>
    <row r="45" spans="5:8" ht="13.5" customHeight="1" x14ac:dyDescent="0.2">
      <c r="E45" s="29"/>
      <c r="F45" s="29"/>
      <c r="G45" s="29"/>
      <c r="H45" s="29"/>
    </row>
    <row r="46" spans="5:8" ht="13.5" customHeight="1" x14ac:dyDescent="0.2">
      <c r="E46" s="29"/>
      <c r="F46" s="29"/>
      <c r="G46" s="29"/>
      <c r="H46" s="29"/>
    </row>
    <row r="47" spans="5:8" ht="13.5" customHeight="1" x14ac:dyDescent="0.2">
      <c r="E47" s="29"/>
      <c r="F47" s="29"/>
      <c r="G47" s="29"/>
      <c r="H47" s="29"/>
    </row>
    <row r="48" spans="5:8" ht="13.5" customHeight="1" x14ac:dyDescent="0.2">
      <c r="E48" s="29"/>
      <c r="F48" s="29"/>
      <c r="G48" s="29"/>
      <c r="H48" s="29"/>
    </row>
    <row r="49" spans="5:8" ht="13.5" customHeight="1" x14ac:dyDescent="0.2">
      <c r="E49" s="29"/>
      <c r="F49" s="29"/>
      <c r="G49" s="29"/>
      <c r="H49" s="29"/>
    </row>
    <row r="50" spans="5:8" ht="13.5" customHeight="1" x14ac:dyDescent="0.2">
      <c r="E50" s="29"/>
      <c r="F50" s="29"/>
      <c r="G50" s="29"/>
      <c r="H50" s="29"/>
    </row>
    <row r="51" spans="5:8" ht="13.5" customHeight="1" x14ac:dyDescent="0.2">
      <c r="E51" s="29"/>
      <c r="F51" s="29"/>
      <c r="G51" s="29"/>
      <c r="H51" s="29"/>
    </row>
    <row r="52" spans="5:8" ht="13.5" customHeight="1" x14ac:dyDescent="0.2">
      <c r="E52" s="29"/>
      <c r="F52" s="29"/>
      <c r="G52" s="29"/>
      <c r="H52" s="29"/>
    </row>
    <row r="53" spans="5:8" ht="13.5" customHeight="1" x14ac:dyDescent="0.2">
      <c r="E53" s="29"/>
      <c r="F53" s="29"/>
      <c r="G53" s="29"/>
      <c r="H53" s="29"/>
    </row>
    <row r="54" spans="5:8" ht="13.5" customHeight="1" x14ac:dyDescent="0.2">
      <c r="E54" s="29"/>
      <c r="F54" s="29"/>
      <c r="G54" s="29"/>
      <c r="H54" s="29"/>
    </row>
    <row r="55" spans="5:8" ht="13.5" customHeight="1" x14ac:dyDescent="0.2">
      <c r="E55" s="29"/>
      <c r="F55" s="29"/>
      <c r="G55" s="29"/>
      <c r="H55" s="29"/>
    </row>
    <row r="56" spans="5:8" ht="13.5" customHeight="1" x14ac:dyDescent="0.2">
      <c r="E56" s="29"/>
      <c r="F56" s="29"/>
      <c r="G56" s="29"/>
      <c r="H56" s="29"/>
    </row>
    <row r="57" spans="5:8" ht="13.5" customHeight="1" x14ac:dyDescent="0.2">
      <c r="E57" s="29"/>
      <c r="G57" s="29"/>
      <c r="H57" s="29"/>
    </row>
    <row r="58" spans="5:8" ht="13.5" customHeight="1" x14ac:dyDescent="0.2">
      <c r="E58" s="29"/>
      <c r="F58" s="29"/>
      <c r="G58" s="29"/>
      <c r="H58" s="29"/>
    </row>
    <row r="64" spans="5:8" ht="13.5" customHeight="1" x14ac:dyDescent="0.2">
      <c r="F64" s="34"/>
    </row>
    <row r="72" spans="5:8" ht="13.5" customHeight="1" x14ac:dyDescent="0.2">
      <c r="E72" s="22">
        <v>124685270.09000002</v>
      </c>
      <c r="F72" s="22">
        <v>23950580.520000003</v>
      </c>
      <c r="G72" s="22">
        <v>1155266463.1299999</v>
      </c>
      <c r="H72" s="22">
        <v>1223571760.0100002</v>
      </c>
    </row>
    <row r="73" spans="5:8" ht="13.5" customHeight="1" x14ac:dyDescent="0.2">
      <c r="E73" s="15">
        <v>50304542.560000002</v>
      </c>
      <c r="F73" s="15">
        <v>15919621.67</v>
      </c>
      <c r="G73" s="15">
        <v>568187256.04999995</v>
      </c>
      <c r="H73" s="15">
        <v>628636341.5800004</v>
      </c>
    </row>
    <row r="74" spans="5:8" ht="13.5" customHeight="1" x14ac:dyDescent="0.2">
      <c r="E74" s="15">
        <v>1343170.13</v>
      </c>
      <c r="F74" s="15">
        <v>876424.28</v>
      </c>
      <c r="G74" s="15">
        <v>117844704.28</v>
      </c>
      <c r="H74" s="15">
        <v>109027134.55</v>
      </c>
    </row>
    <row r="75" spans="5:8" ht="13.5" customHeight="1" x14ac:dyDescent="0.2">
      <c r="E75" s="15">
        <v>604688.06000000006</v>
      </c>
      <c r="F75" s="15">
        <v>256026.88</v>
      </c>
      <c r="G75" s="15">
        <v>143434296.02999997</v>
      </c>
      <c r="H75" s="15">
        <v>165028018.41999999</v>
      </c>
    </row>
    <row r="76" spans="5:8" ht="13.5" customHeight="1" x14ac:dyDescent="0.2">
      <c r="E76" s="15">
        <v>158956.14000000001</v>
      </c>
      <c r="F76" s="15">
        <v>0</v>
      </c>
      <c r="G76" s="15">
        <v>142446.85</v>
      </c>
      <c r="H76" s="15">
        <v>1000796.62</v>
      </c>
    </row>
    <row r="77" spans="5:8" ht="13.5" customHeight="1" x14ac:dyDescent="0.2">
      <c r="E77" s="15">
        <v>0</v>
      </c>
      <c r="F77" s="15">
        <v>10144.040000000001</v>
      </c>
      <c r="G77" s="15">
        <v>17242801.710000001</v>
      </c>
      <c r="H77" s="15">
        <v>12278322.419999994</v>
      </c>
    </row>
    <row r="78" spans="5:8" ht="13.5" customHeight="1" x14ac:dyDescent="0.2">
      <c r="E78" s="15">
        <v>6136997.8099999996</v>
      </c>
      <c r="F78" s="15">
        <v>815693.13000000012</v>
      </c>
      <c r="G78" s="15">
        <v>34938906.520000003</v>
      </c>
      <c r="H78" s="15">
        <v>41635092.290000014</v>
      </c>
    </row>
    <row r="79" spans="5:8" ht="13.5" customHeight="1" x14ac:dyDescent="0.2">
      <c r="E79" s="15">
        <v>8591788.0399999991</v>
      </c>
      <c r="F79" s="15">
        <v>928662.6</v>
      </c>
      <c r="G79" s="15">
        <v>11158278.939999999</v>
      </c>
      <c r="H79" s="15">
        <v>11447313.239999995</v>
      </c>
    </row>
    <row r="80" spans="5:8" ht="13.5" customHeight="1" x14ac:dyDescent="0.2">
      <c r="E80" s="15">
        <v>2580195.98</v>
      </c>
      <c r="F80" s="15">
        <v>399113.94000000006</v>
      </c>
      <c r="G80" s="15">
        <v>17316713.300000001</v>
      </c>
      <c r="H80" s="15">
        <v>19526815.809999995</v>
      </c>
    </row>
    <row r="81" spans="5:8" ht="13.5" customHeight="1" x14ac:dyDescent="0.2">
      <c r="E81" s="15">
        <v>54964931.36999999</v>
      </c>
      <c r="F81" s="15">
        <v>4744893.9799999995</v>
      </c>
      <c r="G81" s="15">
        <v>245001059.45000002</v>
      </c>
      <c r="H81" s="15">
        <v>234991925.07999995</v>
      </c>
    </row>
    <row r="82" spans="5:8" ht="13.5" customHeight="1" x14ac:dyDescent="0.2">
      <c r="E82" s="15"/>
      <c r="F82" s="15"/>
      <c r="G82" s="15"/>
      <c r="H82" s="15"/>
    </row>
    <row r="83" spans="5:8" ht="13.5" customHeight="1" x14ac:dyDescent="0.2">
      <c r="G83" s="35"/>
      <c r="H83" s="36"/>
    </row>
    <row r="84" spans="5:8" ht="13.5" customHeight="1" x14ac:dyDescent="0.2">
      <c r="E84" s="22">
        <v>124685270.09000002</v>
      </c>
      <c r="F84" s="22">
        <v>23950580.520000003</v>
      </c>
      <c r="G84" s="22">
        <v>1155266463.1299999</v>
      </c>
      <c r="H84" s="22">
        <v>1223571760.0100002</v>
      </c>
    </row>
    <row r="85" spans="5:8" ht="13.5" customHeight="1" x14ac:dyDescent="0.2">
      <c r="E85" s="15">
        <v>37339549.660000004</v>
      </c>
      <c r="F85" s="15">
        <v>11860542.42</v>
      </c>
      <c r="G85" s="15">
        <v>421287801.71999991</v>
      </c>
      <c r="H85" s="15">
        <v>467430727.05000037</v>
      </c>
    </row>
    <row r="86" spans="5:8" ht="13.5" customHeight="1" x14ac:dyDescent="0.2">
      <c r="E86" s="15">
        <v>12964992.9</v>
      </c>
      <c r="F86" s="15">
        <v>4059079.25</v>
      </c>
      <c r="G86" s="15">
        <v>146899454.33000001</v>
      </c>
      <c r="H86" s="15">
        <v>161205614.53000003</v>
      </c>
    </row>
    <row r="87" spans="5:8" ht="13.5" customHeight="1" x14ac:dyDescent="0.2">
      <c r="E87" s="15">
        <v>1343170.13</v>
      </c>
      <c r="F87" s="15">
        <v>876424.28</v>
      </c>
      <c r="G87" s="15">
        <v>117844704.28</v>
      </c>
      <c r="H87" s="15">
        <v>109027134.55</v>
      </c>
    </row>
    <row r="88" spans="5:8" ht="13.5" customHeight="1" x14ac:dyDescent="0.2">
      <c r="E88" s="15">
        <v>604688.06000000006</v>
      </c>
      <c r="F88" s="15">
        <v>256026.88</v>
      </c>
      <c r="G88" s="15">
        <v>143434296.02999997</v>
      </c>
      <c r="H88" s="15">
        <v>165028018.41999999</v>
      </c>
    </row>
    <row r="89" spans="5:8" ht="13.5" customHeight="1" x14ac:dyDescent="0.2">
      <c r="E89" s="15">
        <v>158956.14000000001</v>
      </c>
      <c r="F89" s="15">
        <v>0</v>
      </c>
      <c r="G89" s="15">
        <v>142446.85</v>
      </c>
      <c r="H89" s="15">
        <v>1000796.62</v>
      </c>
    </row>
    <row r="90" spans="5:8" ht="13.5" customHeight="1" x14ac:dyDescent="0.2">
      <c r="E90" s="15">
        <v>0</v>
      </c>
      <c r="F90" s="15">
        <v>10144.040000000001</v>
      </c>
      <c r="G90" s="15">
        <v>17242801.710000001</v>
      </c>
      <c r="H90" s="15">
        <v>12278322.419999994</v>
      </c>
    </row>
    <row r="91" spans="5:8" ht="13.5" customHeight="1" x14ac:dyDescent="0.2">
      <c r="E91" s="15">
        <v>212734.78000000003</v>
      </c>
      <c r="F91" s="15">
        <v>61681.19</v>
      </c>
      <c r="G91" s="15">
        <v>14928126.400000004</v>
      </c>
      <c r="H91" s="15">
        <v>20283199.140000008</v>
      </c>
    </row>
    <row r="92" spans="5:8" ht="13.5" customHeight="1" x14ac:dyDescent="0.2">
      <c r="E92" s="15">
        <v>5924263.0299999993</v>
      </c>
      <c r="F92" s="15">
        <v>754011.94000000006</v>
      </c>
      <c r="G92" s="15">
        <v>20010780.120000001</v>
      </c>
      <c r="H92" s="15">
        <v>21351893.150000006</v>
      </c>
    </row>
    <row r="93" spans="5:8" ht="13.5" customHeight="1" x14ac:dyDescent="0.2">
      <c r="E93" s="15">
        <v>8591788.0399999991</v>
      </c>
      <c r="F93" s="15">
        <v>928662.6</v>
      </c>
      <c r="G93" s="15">
        <v>11158278.939999999</v>
      </c>
      <c r="H93" s="15">
        <v>11447313.239999995</v>
      </c>
    </row>
    <row r="94" spans="5:8" ht="13.5" customHeight="1" x14ac:dyDescent="0.2">
      <c r="E94" s="15">
        <v>7375883.46</v>
      </c>
      <c r="F94" s="15">
        <v>945065.07</v>
      </c>
      <c r="G94" s="15">
        <v>20977238.560000002</v>
      </c>
      <c r="H94" s="15">
        <v>25702717.739999991</v>
      </c>
    </row>
    <row r="95" spans="5:8" ht="13.5" customHeight="1" x14ac:dyDescent="0.2">
      <c r="E95" s="15">
        <v>187284.33</v>
      </c>
      <c r="F95" s="15">
        <v>44001.78</v>
      </c>
      <c r="G95" s="15">
        <v>10602369.960000001</v>
      </c>
      <c r="H95" s="15">
        <v>10016385.310000001</v>
      </c>
    </row>
    <row r="96" spans="5:8" ht="13.5" customHeight="1" x14ac:dyDescent="0.2">
      <c r="E96" s="15">
        <v>2392911.65</v>
      </c>
      <c r="F96" s="15">
        <v>355112.16000000003</v>
      </c>
      <c r="G96" s="15">
        <v>6714343.3399999989</v>
      </c>
      <c r="H96" s="15">
        <v>9510430.4999999944</v>
      </c>
    </row>
    <row r="97" spans="5:8" ht="13.5" customHeight="1" x14ac:dyDescent="0.2">
      <c r="E97" s="15">
        <v>27980148.859999999</v>
      </c>
      <c r="F97" s="15">
        <v>1624529.55</v>
      </c>
      <c r="G97" s="15">
        <v>15855882.620000001</v>
      </c>
      <c r="H97" s="15">
        <v>28627804.700000003</v>
      </c>
    </row>
    <row r="98" spans="5:8" ht="13.5" customHeight="1" x14ac:dyDescent="0.2">
      <c r="E98" s="15">
        <v>5440.05</v>
      </c>
      <c r="F98" s="15">
        <v>202759.80000000002</v>
      </c>
      <c r="G98" s="15">
        <v>283477.64</v>
      </c>
      <c r="H98" s="15">
        <v>679428.03000000014</v>
      </c>
    </row>
    <row r="99" spans="5:8" ht="13.5" customHeight="1" x14ac:dyDescent="0.2">
      <c r="E99" s="15">
        <v>157425.99999999997</v>
      </c>
      <c r="F99" s="15">
        <v>62521.3</v>
      </c>
      <c r="G99" s="15">
        <v>414676.27</v>
      </c>
      <c r="H99" s="15">
        <v>756141.47</v>
      </c>
    </row>
    <row r="100" spans="5:8" ht="13.5" customHeight="1" x14ac:dyDescent="0.2">
      <c r="E100" s="15">
        <v>19446032.999999996</v>
      </c>
      <c r="F100" s="15">
        <v>1910018.26</v>
      </c>
      <c r="G100" s="15">
        <v>207469784.36000001</v>
      </c>
      <c r="H100" s="15">
        <v>179225833.13999996</v>
      </c>
    </row>
    <row r="110" spans="5:8" ht="38.25" customHeight="1" x14ac:dyDescent="0.2">
      <c r="E110" s="19" t="s">
        <v>106</v>
      </c>
    </row>
    <row r="112" spans="5:8" ht="13.5" customHeight="1" x14ac:dyDescent="0.2">
      <c r="E112" s="37" t="e">
        <f>#REF!/#REF!*100</f>
        <v>#REF!</v>
      </c>
    </row>
    <row r="113" spans="5:5" ht="13.5" customHeight="1" x14ac:dyDescent="0.2">
      <c r="E113" s="37" t="e">
        <f>#REF!/#REF!*100</f>
        <v>#REF!</v>
      </c>
    </row>
    <row r="114" spans="5:5" ht="13.5" customHeight="1" x14ac:dyDescent="0.2">
      <c r="E114" s="37" t="e">
        <f>#REF!/#REF!*100</f>
        <v>#REF!</v>
      </c>
    </row>
    <row r="115" spans="5:5" ht="13.5" customHeight="1" x14ac:dyDescent="0.2">
      <c r="E115" s="37" t="e">
        <f>#REF!/#REF!*100</f>
        <v>#REF!</v>
      </c>
    </row>
    <row r="116" spans="5:5" ht="13.5" customHeight="1" x14ac:dyDescent="0.2">
      <c r="E116" s="37" t="e">
        <f>#REF!/#REF!*100</f>
        <v>#REF!</v>
      </c>
    </row>
    <row r="117" spans="5:5" ht="13.5" customHeight="1" x14ac:dyDescent="0.2">
      <c r="E117" s="37" t="e">
        <f>#REF!/#REF!*100</f>
        <v>#REF!</v>
      </c>
    </row>
    <row r="118" spans="5:5" ht="13.5" customHeight="1" x14ac:dyDescent="0.2">
      <c r="E118" s="37" t="e">
        <f>#REF!/#REF!*100</f>
        <v>#REF!</v>
      </c>
    </row>
    <row r="119" spans="5:5" ht="13.5" customHeight="1" x14ac:dyDescent="0.2">
      <c r="E119" s="37" t="e">
        <f>#REF!/#REF!*100</f>
        <v>#REF!</v>
      </c>
    </row>
    <row r="120" spans="5:5" ht="13.5" customHeight="1" x14ac:dyDescent="0.2">
      <c r="E120" s="37" t="e">
        <f>#REF!/#REF!*100</f>
        <v>#REF!</v>
      </c>
    </row>
    <row r="121" spans="5:5" ht="13.5" customHeight="1" x14ac:dyDescent="0.2">
      <c r="E121" s="37" t="e">
        <f>#REF!/#REF!*100</f>
        <v>#REF!</v>
      </c>
    </row>
  </sheetData>
  <mergeCells count="2">
    <mergeCell ref="A4:A5"/>
    <mergeCell ref="B4:E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zoomScaleNormal="100" workbookViewId="0">
      <selection activeCell="A3" sqref="A3"/>
    </sheetView>
  </sheetViews>
  <sheetFormatPr defaultRowHeight="13.5" customHeight="1" x14ac:dyDescent="0.2"/>
  <cols>
    <col min="1" max="1" width="25.5" style="2" customWidth="1"/>
    <col min="2" max="5" width="13.125" style="2" customWidth="1"/>
    <col min="6" max="8" width="9" style="2"/>
    <col min="9" max="9" width="13.375" style="2" customWidth="1"/>
    <col min="10" max="10" width="25" style="2" customWidth="1"/>
    <col min="11" max="12" width="13.125" style="2" customWidth="1"/>
    <col min="13" max="13" width="20.5" style="2" customWidth="1"/>
    <col min="14" max="16" width="11.625" style="2" customWidth="1"/>
    <col min="17" max="17" width="13.125" style="2" customWidth="1"/>
    <col min="18" max="16384" width="9" style="2"/>
  </cols>
  <sheetData>
    <row r="1" spans="1:18" ht="13.5" customHeight="1" x14ac:dyDescent="0.2">
      <c r="A1" s="16" t="s">
        <v>183</v>
      </c>
      <c r="C1" s="3"/>
    </row>
    <row r="2" spans="1:18" ht="13.5" customHeight="1" x14ac:dyDescent="0.2">
      <c r="A2" s="45" t="s">
        <v>126</v>
      </c>
      <c r="C2" s="3"/>
      <c r="K2" s="19"/>
      <c r="L2" s="19"/>
    </row>
    <row r="3" spans="1:18" ht="13.5" customHeight="1" x14ac:dyDescent="0.2">
      <c r="B3" s="29"/>
      <c r="C3" s="42"/>
      <c r="D3" s="29"/>
      <c r="E3" s="29"/>
      <c r="K3" s="29"/>
      <c r="L3" s="29"/>
    </row>
    <row r="4" spans="1:18" ht="13.5" customHeight="1" x14ac:dyDescent="0.2">
      <c r="A4" s="161" t="s">
        <v>29</v>
      </c>
      <c r="B4" s="161" t="s">
        <v>49</v>
      </c>
      <c r="C4" s="161"/>
      <c r="D4" s="161"/>
      <c r="E4" s="161"/>
      <c r="K4" s="29"/>
      <c r="L4" s="29"/>
      <c r="M4" s="2" t="s">
        <v>161</v>
      </c>
    </row>
    <row r="5" spans="1:18" ht="42" customHeight="1" x14ac:dyDescent="0.2">
      <c r="A5" s="161"/>
      <c r="B5" s="47" t="s">
        <v>114</v>
      </c>
      <c r="C5" s="47" t="s">
        <v>115</v>
      </c>
      <c r="D5" s="47" t="s">
        <v>26</v>
      </c>
      <c r="E5" s="47" t="s">
        <v>116</v>
      </c>
      <c r="K5" s="29"/>
      <c r="L5" s="29"/>
      <c r="M5" s="46" t="s">
        <v>158</v>
      </c>
      <c r="N5" s="47" t="s">
        <v>116</v>
      </c>
      <c r="O5" s="47" t="s">
        <v>26</v>
      </c>
      <c r="P5" s="47" t="s">
        <v>115</v>
      </c>
      <c r="Q5" s="47" t="s">
        <v>114</v>
      </c>
    </row>
    <row r="6" spans="1:18" ht="13.5" customHeight="1" x14ac:dyDescent="0.2">
      <c r="A6" s="134" t="s">
        <v>14</v>
      </c>
      <c r="B6" s="135">
        <v>1239792519.9600005</v>
      </c>
      <c r="C6" s="135">
        <v>1174686891.1699998</v>
      </c>
      <c r="D6" s="135">
        <v>24559646</v>
      </c>
      <c r="E6" s="135">
        <v>129150083.97</v>
      </c>
      <c r="K6" s="29"/>
      <c r="L6" s="29"/>
      <c r="M6" s="78" t="s">
        <v>87</v>
      </c>
      <c r="N6" s="68">
        <v>0.36030526360950071</v>
      </c>
      <c r="O6" s="68">
        <v>0.83570208625971243</v>
      </c>
      <c r="P6" s="68">
        <v>0.7471564731567123</v>
      </c>
      <c r="Q6" s="68">
        <v>0.86940732662653564</v>
      </c>
    </row>
    <row r="7" spans="1:18" ht="13.5" customHeight="1" x14ac:dyDescent="0.2">
      <c r="A7" s="123" t="s">
        <v>87</v>
      </c>
      <c r="B7" s="136">
        <v>1077884700.3499999</v>
      </c>
      <c r="C7" s="136">
        <v>877674914.66999984</v>
      </c>
      <c r="D7" s="136">
        <v>20524547.400000002</v>
      </c>
      <c r="E7" s="136">
        <v>46533455.050000004</v>
      </c>
      <c r="M7" s="79" t="s">
        <v>89</v>
      </c>
      <c r="N7" s="71">
        <v>0.53853580138713708</v>
      </c>
      <c r="O7" s="71">
        <v>2.2923053532611995E-2</v>
      </c>
      <c r="P7" s="71">
        <v>1.5061807748937837E-2</v>
      </c>
      <c r="Q7" s="71">
        <v>2.925707299086646E-2</v>
      </c>
    </row>
    <row r="8" spans="1:18" ht="13.5" customHeight="1" x14ac:dyDescent="0.2">
      <c r="A8" s="123" t="s">
        <v>89</v>
      </c>
      <c r="B8" s="136">
        <v>36272700.25</v>
      </c>
      <c r="C8" s="136">
        <v>17692908.120000001</v>
      </c>
      <c r="D8" s="136">
        <v>562982.08000000007</v>
      </c>
      <c r="E8" s="136">
        <v>69551943.969999999</v>
      </c>
      <c r="M8" s="79" t="s">
        <v>111</v>
      </c>
      <c r="N8" s="71">
        <v>4.2877548583602366E-3</v>
      </c>
      <c r="O8" s="71">
        <v>9.5481832270709438E-5</v>
      </c>
      <c r="P8" s="71">
        <v>5.2502433000313946E-3</v>
      </c>
      <c r="Q8" s="71">
        <v>6.5509177295746497E-4</v>
      </c>
    </row>
    <row r="9" spans="1:18" ht="13.5" customHeight="1" x14ac:dyDescent="0.2">
      <c r="A9" s="123" t="s">
        <v>90</v>
      </c>
      <c r="B9" s="136">
        <v>812177.88</v>
      </c>
      <c r="C9" s="136">
        <v>6167391.9799999995</v>
      </c>
      <c r="D9" s="136">
        <v>2345</v>
      </c>
      <c r="E9" s="136">
        <v>553763.9</v>
      </c>
      <c r="K9" s="44"/>
      <c r="L9" s="44"/>
      <c r="M9" s="80" t="s">
        <v>33</v>
      </c>
      <c r="N9" s="75">
        <v>9.6871180145001956E-2</v>
      </c>
      <c r="O9" s="75">
        <v>0.14127937837540491</v>
      </c>
      <c r="P9" s="75">
        <v>0.23253147579431843</v>
      </c>
      <c r="Q9" s="75">
        <v>0.10068050860963985</v>
      </c>
      <c r="R9"/>
    </row>
    <row r="10" spans="1:18" ht="13.5" customHeight="1" x14ac:dyDescent="0.2">
      <c r="A10" s="137" t="s">
        <v>92</v>
      </c>
      <c r="B10" s="138">
        <v>124822941.47999993</v>
      </c>
      <c r="C10" s="138">
        <v>273151676.39999998</v>
      </c>
      <c r="D10" s="138">
        <v>3469771.52</v>
      </c>
      <c r="E10" s="138">
        <v>12510921.049999999</v>
      </c>
      <c r="K10" s="44"/>
      <c r="L10" s="44"/>
      <c r="Q10"/>
      <c r="R10"/>
    </row>
    <row r="11" spans="1:18" ht="13.5" customHeight="1" x14ac:dyDescent="0.2">
      <c r="A11" s="63" t="s">
        <v>119</v>
      </c>
      <c r="B11" s="65"/>
      <c r="C11" s="65"/>
      <c r="D11" s="65"/>
      <c r="E11" s="65"/>
      <c r="K11" s="44"/>
      <c r="L11" s="44"/>
      <c r="Q11"/>
      <c r="R11" s="62"/>
    </row>
    <row r="12" spans="1:18" ht="13.5" customHeight="1" x14ac:dyDescent="0.2">
      <c r="A12" s="139" t="s">
        <v>87</v>
      </c>
      <c r="B12" s="129">
        <v>0.86940732662653564</v>
      </c>
      <c r="C12" s="129">
        <v>0.7471564731567123</v>
      </c>
      <c r="D12" s="129">
        <v>0.83570208625971243</v>
      </c>
      <c r="E12" s="129">
        <v>0.36030526360950071</v>
      </c>
      <c r="K12" s="44"/>
      <c r="L12" s="44"/>
      <c r="Q12"/>
      <c r="R12" s="62"/>
    </row>
    <row r="13" spans="1:18" ht="13.5" customHeight="1" x14ac:dyDescent="0.2">
      <c r="A13" s="123" t="s">
        <v>89</v>
      </c>
      <c r="B13" s="131">
        <v>2.925707299086646E-2</v>
      </c>
      <c r="C13" s="131">
        <v>1.5061807748937837E-2</v>
      </c>
      <c r="D13" s="131">
        <v>2.2923053532611995E-2</v>
      </c>
      <c r="E13" s="131">
        <v>0.53853580138713708</v>
      </c>
      <c r="K13" s="43"/>
      <c r="L13" s="43"/>
      <c r="Q13"/>
      <c r="R13" s="62"/>
    </row>
    <row r="14" spans="1:18" ht="13.5" customHeight="1" x14ac:dyDescent="0.2">
      <c r="A14" s="123" t="s">
        <v>111</v>
      </c>
      <c r="B14" s="131">
        <v>6.5509177295746497E-4</v>
      </c>
      <c r="C14" s="131">
        <v>5.2502433000313946E-3</v>
      </c>
      <c r="D14" s="131">
        <v>9.5481832270709438E-5</v>
      </c>
      <c r="E14" s="131">
        <v>4.2877548583602366E-3</v>
      </c>
      <c r="K14" s="43"/>
      <c r="L14" s="43"/>
      <c r="Q14"/>
      <c r="R14" s="62"/>
    </row>
    <row r="15" spans="1:18" ht="13.5" customHeight="1" x14ac:dyDescent="0.2">
      <c r="A15" s="137" t="s">
        <v>33</v>
      </c>
      <c r="B15" s="133">
        <v>0.10068050860963985</v>
      </c>
      <c r="C15" s="133">
        <v>0.23253147579431843</v>
      </c>
      <c r="D15" s="133">
        <v>0.14127937837540491</v>
      </c>
      <c r="E15" s="133">
        <v>9.6871180145001956E-2</v>
      </c>
    </row>
    <row r="16" spans="1:18" ht="13.5" customHeight="1" x14ac:dyDescent="0.2">
      <c r="C16" s="3"/>
    </row>
    <row r="17" spans="1:7" ht="13.5" customHeight="1" x14ac:dyDescent="0.2">
      <c r="A17" s="2" t="s">
        <v>105</v>
      </c>
      <c r="C17" s="3"/>
    </row>
    <row r="23" spans="1:7" ht="13.5" customHeight="1" x14ac:dyDescent="0.2">
      <c r="G23" s="2" t="s">
        <v>105</v>
      </c>
    </row>
    <row r="76" spans="10:16" ht="13.5" customHeight="1" x14ac:dyDescent="0.2">
      <c r="J76" s="22"/>
      <c r="K76" s="22"/>
      <c r="L76" s="23"/>
      <c r="M76" s="22"/>
      <c r="N76" s="22"/>
      <c r="O76" s="22"/>
      <c r="P76" s="22"/>
    </row>
    <row r="77" spans="10:16" ht="13.5" customHeight="1" x14ac:dyDescent="0.2">
      <c r="J77" s="15"/>
      <c r="K77" s="15"/>
      <c r="L77" s="24"/>
      <c r="M77" s="15"/>
      <c r="N77" s="15"/>
      <c r="O77" s="15"/>
      <c r="P77" s="15"/>
    </row>
    <row r="78" spans="10:16" ht="13.5" customHeight="1" x14ac:dyDescent="0.2">
      <c r="J78" s="15"/>
      <c r="K78" s="15"/>
      <c r="L78" s="24"/>
      <c r="M78" s="15"/>
      <c r="N78" s="15"/>
      <c r="O78" s="15"/>
      <c r="P78" s="15"/>
    </row>
    <row r="79" spans="10:16" ht="13.5" customHeight="1" x14ac:dyDescent="0.2">
      <c r="J79" s="15"/>
      <c r="K79" s="15"/>
      <c r="L79" s="24"/>
      <c r="M79" s="15"/>
      <c r="N79" s="15"/>
      <c r="O79" s="15"/>
      <c r="P79" s="15"/>
    </row>
    <row r="80" spans="10:16" ht="13.5" customHeight="1" x14ac:dyDescent="0.2">
      <c r="J80" s="15"/>
      <c r="K80" s="15"/>
      <c r="L80" s="24"/>
      <c r="M80" s="15"/>
      <c r="N80" s="15"/>
      <c r="O80" s="15"/>
      <c r="P80" s="15"/>
    </row>
    <row r="81" spans="10:16" ht="13.5" customHeight="1" x14ac:dyDescent="0.2">
      <c r="J81" s="15"/>
      <c r="K81" s="15"/>
      <c r="L81" s="24"/>
      <c r="M81" s="15"/>
      <c r="N81" s="15"/>
      <c r="O81" s="15"/>
      <c r="P81" s="15"/>
    </row>
    <row r="82" spans="10:16" ht="13.5" customHeight="1" x14ac:dyDescent="0.2">
      <c r="J82" s="15"/>
      <c r="K82" s="15"/>
      <c r="L82" s="24"/>
      <c r="M82" s="15"/>
      <c r="N82" s="15"/>
      <c r="O82" s="15"/>
      <c r="P82" s="15"/>
    </row>
    <row r="83" spans="10:16" ht="13.5" customHeight="1" x14ac:dyDescent="0.2">
      <c r="J83" s="15"/>
      <c r="K83" s="15"/>
      <c r="L83" s="24"/>
      <c r="M83" s="15"/>
      <c r="N83" s="15"/>
      <c r="O83" s="15"/>
      <c r="P83" s="15"/>
    </row>
    <row r="84" spans="10:16" ht="13.5" customHeight="1" x14ac:dyDescent="0.2">
      <c r="J84" s="15"/>
      <c r="K84" s="15"/>
      <c r="L84" s="24"/>
      <c r="M84" s="15"/>
      <c r="N84" s="15"/>
      <c r="O84" s="15"/>
      <c r="P84" s="15"/>
    </row>
    <row r="85" spans="10:16" ht="13.5" customHeight="1" x14ac:dyDescent="0.2">
      <c r="J85" s="15"/>
      <c r="K85" s="15"/>
      <c r="L85" s="24"/>
      <c r="M85" s="15"/>
      <c r="N85" s="15"/>
      <c r="O85" s="15"/>
      <c r="P85" s="15"/>
    </row>
    <row r="88" spans="10:16" ht="13.5" customHeight="1" x14ac:dyDescent="0.2">
      <c r="J88" s="15"/>
    </row>
  </sheetData>
  <mergeCells count="2">
    <mergeCell ref="A4:A5"/>
    <mergeCell ref="B4:E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9</vt:i4>
      </vt:variant>
      <vt:variant>
        <vt:lpstr>Pomenované rozsahy</vt:lpstr>
      </vt:variant>
      <vt:variant>
        <vt:i4>2</vt:i4>
      </vt:variant>
    </vt:vector>
  </HeadingPairs>
  <TitlesOfParts>
    <vt:vector size="11" baseType="lpstr">
      <vt:lpstr>Obsah</vt:lpstr>
      <vt:lpstr>Meta</vt:lpstr>
      <vt:lpstr>T1</vt:lpstr>
      <vt:lpstr>T2</vt:lpstr>
      <vt:lpstr>T3</vt:lpstr>
      <vt:lpstr>G1</vt:lpstr>
      <vt:lpstr>G2</vt:lpstr>
      <vt:lpstr>G3</vt:lpstr>
      <vt:lpstr>G4</vt:lpstr>
      <vt:lpstr>'T2'!Oblasť_tlače</vt:lpstr>
      <vt:lpstr>'T3'!Oblasť_tlače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Vybrané ekonomické ukazovatele v zdravotníctve v Slovenskej republike 2018</dc:title>
  <dc:creator/>
  <cp:lastModifiedBy/>
  <dcterms:created xsi:type="dcterms:W3CDTF">2019-10-31T08:01:52Z</dcterms:created>
  <dcterms:modified xsi:type="dcterms:W3CDTF">2020-01-22T13:03:52Z</dcterms:modified>
</cp:coreProperties>
</file>