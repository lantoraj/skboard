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ento_zošit"/>
  <bookViews>
    <workbookView xWindow="0" yWindow="0" windowWidth="15345" windowHeight="4545"/>
  </bookViews>
  <sheets>
    <sheet name="Obsah" sheetId="24" r:id="rId1"/>
    <sheet name="Meta" sheetId="18" r:id="rId2"/>
    <sheet name="T1" sheetId="19" r:id="rId3"/>
    <sheet name="T2" sheetId="2" r:id="rId4"/>
    <sheet name="T3" sheetId="3" r:id="rId5"/>
    <sheet name="G1" sheetId="20" r:id="rId6"/>
    <sheet name="G2" sheetId="21" r:id="rId7"/>
    <sheet name="G3" sheetId="22" r:id="rId8"/>
    <sheet name="G4" sheetId="23" r:id="rId9"/>
  </sheets>
  <definedNames>
    <definedName name="_xlnm.Print_Area" localSheetId="3">'T2'!$A$1:$F$38</definedName>
    <definedName name="_xlnm.Print_Area" localSheetId="4">'T3'!$A$1:$C$34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6" i="20" l="1"/>
  <c r="D16" i="20"/>
  <c r="B16" i="20"/>
  <c r="E103" i="22"/>
  <c r="E102" i="22"/>
  <c r="E101" i="22"/>
  <c r="E100" i="22"/>
  <c r="E99" i="22"/>
  <c r="E98" i="22"/>
  <c r="E97" i="22"/>
  <c r="E96" i="22"/>
  <c r="E95" i="22"/>
  <c r="E94" i="22"/>
</calcChain>
</file>

<file path=xl/sharedStrings.xml><?xml version="1.0" encoding="utf-8"?>
<sst xmlns="http://schemas.openxmlformats.org/spreadsheetml/2006/main" count="353" uniqueCount="157">
  <si>
    <t>MZ SR – nezisková organizácia</t>
  </si>
  <si>
    <t>MZ SR – akciová spoločnosť</t>
  </si>
  <si>
    <t>MZ SR – príspevková organizácia</t>
  </si>
  <si>
    <t xml:space="preserve">iný rezort – príspevková organizácia </t>
  </si>
  <si>
    <t>VÚC – nezisková organizácia</t>
  </si>
  <si>
    <t>VÚC – príspevková organizácia</t>
  </si>
  <si>
    <t>iný zriaďovateľ – živnostník, fyzická osoba</t>
  </si>
  <si>
    <t>iný zriaďovateľ – s. r. o.</t>
  </si>
  <si>
    <t>iný zriaďovateľ – nezisková organizácia</t>
  </si>
  <si>
    <t>iný zriaďovateľ – akciová spoločnosť</t>
  </si>
  <si>
    <t>iný zriaďovateľ – cirkevná organizácia</t>
  </si>
  <si>
    <t>Počet organizácií</t>
  </si>
  <si>
    <t>Náklady spolu (€)</t>
  </si>
  <si>
    <t>z toho na</t>
  </si>
  <si>
    <t>Výnosy spolu (€)</t>
  </si>
  <si>
    <t>mzdy</t>
  </si>
  <si>
    <t>odvody</t>
  </si>
  <si>
    <t>lieky</t>
  </si>
  <si>
    <t>zdravotnícke pomôcky</t>
  </si>
  <si>
    <t>odpisy</t>
  </si>
  <si>
    <t>spotrebu energie</t>
  </si>
  <si>
    <t xml:space="preserve">tržby od obyvateľstva </t>
  </si>
  <si>
    <t xml:space="preserve">z toho za lieky </t>
  </si>
  <si>
    <t>Slovenská republika</t>
  </si>
  <si>
    <t>všeobecné a špecializované nemocnice</t>
  </si>
  <si>
    <t>fakultné nemocnice</t>
  </si>
  <si>
    <t>liečebne</t>
  </si>
  <si>
    <t>Hospodársky výsledok (€)</t>
  </si>
  <si>
    <t>krv a krvné výrobky</t>
  </si>
  <si>
    <t>Ukazovateľ</t>
  </si>
  <si>
    <t>Spolu</t>
  </si>
  <si>
    <t>opravy a údržbu</t>
  </si>
  <si>
    <t>stravovanie pacientov</t>
  </si>
  <si>
    <t>ostatné výnosy</t>
  </si>
  <si>
    <t xml:space="preserve">tržby od zdravotných poisťovní </t>
  </si>
  <si>
    <t>prevádzkové dotácie od zriaďovateľa</t>
  </si>
  <si>
    <t>z toho zriaďovateľ a právna forma</t>
  </si>
  <si>
    <t>ostatnú hospodársko-technickú správu</t>
  </si>
  <si>
    <t>z toho za</t>
  </si>
  <si>
    <t>ukončené hospitalizácie</t>
  </si>
  <si>
    <t xml:space="preserve">ošetrovacie dni </t>
  </si>
  <si>
    <t>pripočítateľné položky</t>
  </si>
  <si>
    <t xml:space="preserve">body </t>
  </si>
  <si>
    <t>za lieky</t>
  </si>
  <si>
    <t>za zdravotnícke pomôcky</t>
  </si>
  <si>
    <t>za doplnkový sortiment lekární</t>
  </si>
  <si>
    <t>iné</t>
  </si>
  <si>
    <r>
      <t xml:space="preserve">ostatní ústavní PZS </t>
    </r>
    <r>
      <rPr>
        <vertAlign val="superscript"/>
        <sz val="9"/>
        <color theme="1"/>
        <rFont val="Arial"/>
        <family val="2"/>
        <charset val="238"/>
      </rPr>
      <t>2)</t>
    </r>
    <r>
      <rPr>
        <i/>
        <sz val="9"/>
        <color theme="1"/>
        <rFont val="Arial"/>
        <family val="2"/>
        <charset val="238"/>
      </rPr>
      <t/>
    </r>
  </si>
  <si>
    <t>Skupina poskytovateľa ústavnej zdravotnej starostlivosti</t>
  </si>
  <si>
    <t xml:space="preserve">z toho na </t>
  </si>
  <si>
    <t>doplnkový sortiment lekární</t>
  </si>
  <si>
    <t>pobyt v stacionári</t>
  </si>
  <si>
    <t>kapitáciu/paušál</t>
  </si>
  <si>
    <t>ambulantná zdravotná starostlivosť</t>
  </si>
  <si>
    <t>lekárenská starostlivosť</t>
  </si>
  <si>
    <t>Skupina poskytovateľa zdravotnej starostlivosti</t>
  </si>
  <si>
    <t>–</t>
  </si>
  <si>
    <t>iný zriaďovateľ – združenie (zväz, spolok)</t>
  </si>
  <si>
    <r>
      <rPr>
        <vertAlign val="superscript"/>
        <sz val="9"/>
        <color theme="1"/>
        <rFont val="Arial"/>
        <family val="2"/>
        <charset val="238"/>
      </rPr>
      <t>1)</t>
    </r>
    <r>
      <rPr>
        <sz val="9"/>
        <color theme="1"/>
        <rFont val="Arial"/>
        <family val="2"/>
        <charset val="238"/>
      </rPr>
      <t xml:space="preserve"> vykazovali vybraní poskytovatelia ústavnej zdravotnej starostlivosti zaradení do systému financovania prostredníctvom Diagnoses Related Groups (DRG) v zmysle metodických usmernení ÚDZS počas prechodného obdobia implementácie systému SK-DRG</t>
    </r>
  </si>
  <si>
    <r>
      <t xml:space="preserve">ukončené hospitalizačné prípady v zmysle DRG </t>
    </r>
    <r>
      <rPr>
        <vertAlign val="superscript"/>
        <sz val="9"/>
        <color theme="1"/>
        <rFont val="Arial"/>
        <family val="2"/>
        <charset val="238"/>
      </rPr>
      <t>1)</t>
    </r>
  </si>
  <si>
    <r>
      <rPr>
        <vertAlign val="superscript"/>
        <sz val="9"/>
        <rFont val="Arial"/>
        <family val="2"/>
        <charset val="238"/>
      </rPr>
      <t xml:space="preserve">2) </t>
    </r>
    <r>
      <rPr>
        <sz val="9"/>
        <rFont val="Arial"/>
        <family val="2"/>
        <charset val="238"/>
      </rPr>
      <t>kúpele, ozdravovne, hospice, domy ošetrovateľskej starostlivosti</t>
    </r>
  </si>
  <si>
    <t>Náklady</t>
  </si>
  <si>
    <t xml:space="preserve">mzdy a odvody </t>
  </si>
  <si>
    <t xml:space="preserve">lieky </t>
  </si>
  <si>
    <t>tržby od zdravotných poisťovní</t>
  </si>
  <si>
    <t>doplnkový sortiment lekárni</t>
  </si>
  <si>
    <t>tržby od obyvateľstva</t>
  </si>
  <si>
    <t xml:space="preserve">prevádzkové dotácie </t>
  </si>
  <si>
    <t xml:space="preserve">odpisy </t>
  </si>
  <si>
    <t xml:space="preserve">ostatné výnosy </t>
  </si>
  <si>
    <t xml:space="preserve">stravovanie pacientov </t>
  </si>
  <si>
    <t xml:space="preserve">oprava a údržba </t>
  </si>
  <si>
    <t xml:space="preserve">ostatné náklady </t>
  </si>
  <si>
    <r>
      <rPr>
        <vertAlign val="superscript"/>
        <sz val="9"/>
        <color theme="1"/>
        <rFont val="Arial"/>
        <family val="2"/>
        <charset val="238"/>
      </rPr>
      <t xml:space="preserve">1) </t>
    </r>
    <r>
      <rPr>
        <sz val="9"/>
        <color theme="1"/>
        <rFont val="Arial"/>
        <family val="2"/>
        <charset val="238"/>
      </rPr>
      <t>kúpele, ozdravovne, hospice, domy ošetrovateľskej starostlivosti</t>
    </r>
  </si>
  <si>
    <t xml:space="preserve">všeobecné a špecializované
nemocnice
general and
specialised hospitals </t>
  </si>
  <si>
    <t>mzdy a odvody</t>
  </si>
  <si>
    <t>oprava a údržba</t>
  </si>
  <si>
    <t>ostatné náklady</t>
  </si>
  <si>
    <t>lekárenská
starostlivosť</t>
  </si>
  <si>
    <t>prevádzkové dotácie</t>
  </si>
  <si>
    <t>ambulantná
zdravotná
starostlivosť</t>
  </si>
  <si>
    <t>ústavná
zdravotná
starostlivosť</t>
  </si>
  <si>
    <t xml:space="preserve">všeobecné
a špecializované
nemocnice </t>
  </si>
  <si>
    <t>fakultné
nemocnice</t>
  </si>
  <si>
    <r>
      <t>ostatní
ústavní PZS</t>
    </r>
    <r>
      <rPr>
        <vertAlign val="superscript"/>
        <sz val="9"/>
        <color theme="1"/>
        <rFont val="Arial"/>
        <family val="2"/>
        <charset val="238"/>
      </rPr>
      <t xml:space="preserve"> 1)</t>
    </r>
  </si>
  <si>
    <t>výkony vrátane jednodňovej zdravotnej starostlivosti</t>
  </si>
  <si>
    <t>Forma poskytovanej zdravotnej starostlivosti</t>
  </si>
  <si>
    <t>Podiel v %</t>
  </si>
  <si>
    <t xml:space="preserve">T 1 Náklady, výnosy a hospodársky výsledok v organizáciách v zdravotníctve podľa zriaďovateľa a právnej formy </t>
  </si>
  <si>
    <t>T 2 Náklady, výnosy a hospodársky výsledok v zariadeniach ústavnej zdravotnej starostlivosti</t>
  </si>
  <si>
    <t>T 3 Náklady, výnosy a hospodársky výsledok v zariadeniach ambulantnej a lekárenskej zdravotnej starostlivosti</t>
  </si>
  <si>
    <t>G 1 Štruktúra nákladov podľa formy poskytovanej zdravotnej starostlivosti</t>
  </si>
  <si>
    <t>G 2 Štruktúra výnosov podľa formy poskytovanej zdravotnej starostlivosti</t>
  </si>
  <si>
    <t>G 3 Štruktúra nákladov v zariadeniach ústavnej zdravotnej starostlivosti</t>
  </si>
  <si>
    <t>G 4 Štruktúra výnosov v zariadeniach ústavnej zdravotnej starostlivosti</t>
  </si>
  <si>
    <t>Metodické poznámky</t>
  </si>
  <si>
    <t>Vysvetlenie symbolov</t>
  </si>
  <si>
    <r>
      <t>Ležatá čiarka</t>
    </r>
    <r>
      <rPr>
        <b/>
        <sz val="9"/>
        <color theme="1"/>
        <rFont val="Arial"/>
        <family val="2"/>
        <charset val="238"/>
      </rPr>
      <t xml:space="preserve"> </t>
    </r>
  </si>
  <si>
    <t>(–)</t>
  </si>
  <si>
    <t>jav sa nevyskytoval</t>
  </si>
  <si>
    <t xml:space="preserve">Nula
</t>
  </si>
  <si>
    <t>(0; 0,0; 0,00)</t>
  </si>
  <si>
    <t>znamená viac ako nulu, ale menej ako najmenšiu jednotku vyjadriteľnú v tabuľke</t>
  </si>
  <si>
    <t xml:space="preserve">Bodka
</t>
  </si>
  <si>
    <t>(.)</t>
  </si>
  <si>
    <t>údaj nie je k dispozícií alebo je nespoľahlivý</t>
  </si>
  <si>
    <t xml:space="preserve">Ležatý krížik
</t>
  </si>
  <si>
    <t>(x)</t>
  </si>
  <si>
    <t>zápis nie je možný z logických dôvodov</t>
  </si>
  <si>
    <t xml:space="preserve">Veľké D
 </t>
  </si>
  <si>
    <t>(D)</t>
  </si>
  <si>
    <t>údaj nie je možné publikovať pre jeho dôverný charakter</t>
  </si>
  <si>
    <t>Znak zlomu</t>
  </si>
  <si>
    <r>
      <t>(</t>
    </r>
    <r>
      <rPr>
        <sz val="9"/>
        <color theme="1"/>
        <rFont val="Webdings"/>
        <family val="1"/>
        <charset val="2"/>
      </rPr>
      <t>~</t>
    </r>
    <r>
      <rPr>
        <sz val="9"/>
        <color theme="1"/>
        <rFont val="Arial"/>
        <family val="2"/>
        <charset val="238"/>
      </rPr>
      <t>)</t>
    </r>
  </si>
  <si>
    <t>prerušenie porovnateľnosti časového radu z metodických alebo iných dôvodov</t>
  </si>
  <si>
    <t>z toho</t>
  </si>
  <si>
    <t>znamená neúplný výber položiek</t>
  </si>
  <si>
    <t>v tom</t>
  </si>
  <si>
    <t>znamená úplný výber položiek</t>
  </si>
  <si>
    <t>© Národné centrum zdravotníckych informácií</t>
  </si>
  <si>
    <t>PZS</t>
  </si>
  <si>
    <t>Údaje o finančnom hospodárení organizácií pôsobiacich v zdravotníctve sú získavané na báze zisťovania ekonomiky nákladových stredísk – odborných útvarov.</t>
  </si>
  <si>
    <t>Zaradenie poskytovateľa zdravotnej starostlivosti do skupiny poskytovateľov v tabuľke T 2 a T 3 je na základe prevažujúcej činnosti daného PZS.</t>
  </si>
  <si>
    <t>Zoznam druhov právnej formy u jednotlivých zriaďovateľov v tabuľke T 1 nie je vyčerpávajúci. Uvedené sú len triedenia, v ktorých počet spravodajských jednotiek bol rovný alebo väčší ako 3 z dôvodu ochrany dôverných štatistických údajov spravodajských jednotiek.</t>
  </si>
  <si>
    <t>Výnosy</t>
  </si>
  <si>
    <t>Zdrojové údaje ku G3:</t>
  </si>
  <si>
    <t>Zdrojové údaje ku G4:</t>
  </si>
  <si>
    <t>Názov</t>
  </si>
  <si>
    <t>Hárok</t>
  </si>
  <si>
    <t>tabuľka</t>
  </si>
  <si>
    <t>Meta</t>
  </si>
  <si>
    <t>T1</t>
  </si>
  <si>
    <t>graf</t>
  </si>
  <si>
    <t>T2</t>
  </si>
  <si>
    <t>T3</t>
  </si>
  <si>
    <t>G1</t>
  </si>
  <si>
    <t>G2</t>
  </si>
  <si>
    <t>G3</t>
  </si>
  <si>
    <t>G4</t>
  </si>
  <si>
    <t>Skratky</t>
  </si>
  <si>
    <t>poskytovateľ zdravotnej starostlivosti</t>
  </si>
  <si>
    <t>Ministerstvo zdravotníctva Slovenskej republiky</t>
  </si>
  <si>
    <t>MZ SR</t>
  </si>
  <si>
    <t>VÚC</t>
  </si>
  <si>
    <t>vyšší územný celok</t>
  </si>
  <si>
    <t>s. r. o.</t>
  </si>
  <si>
    <t>spoločnosť s ručením obmedzeným</t>
  </si>
  <si>
    <t>Ročný výkaz o ekonomike organizácií v zdravotníctve E (MZ SR) 2-01
Štvrťročný výkaz o ekonomike organizácií v zdravotníctve E (MZ SR) 1-04
Mesačný výkaz o ekonomike vybraných organizácií v zdravotníctve E (MZ SR) 3-12</t>
  </si>
  <si>
    <t>Vybrané ekonomické ukazovatele v zdravotníctve v Slovenskej republike 2019</t>
  </si>
  <si>
    <t>VÚC – s. r. o.</t>
  </si>
  <si>
    <t>Zdrojové údaje ku G2:</t>
  </si>
  <si>
    <t>Zdrojové údaje ku G1:</t>
  </si>
  <si>
    <t>spotreba energie</t>
  </si>
  <si>
    <t>Naspäť na obsah</t>
  </si>
  <si>
    <t>Zdrojom údajov za rok 2019 sú štatistické zisťovania Ministerstva zdravotníctva SR:</t>
  </si>
  <si>
    <t>Spravodajskými jednotkami sú organizácie pôsobiace v zdravotníctve na území SR:
- všetky príspevkové a neziskové organizácie a štátne akciové spoločnosti - poskytovatelia zdravotnej starostlivosti a poskytovatelia služieb súvisiacich s poskytovaním zdravotnej starostlivosti a ďalšie organizácie v zdravotníctve,
- neštátni poskytovatelia zdravotnej starostlivosti a poskytovatelia služieb súvisiacich s poskytovaním zdravotnej starostlivosti (mimo zubných technikov).
Výkaz predkladajú právnické, resp. fyzické osoby sumárne za všetky zdravotnícke zariadenia, ktoré prevádzkujú. Návratnosť výkazov od spravodajských jednotiek bola 78,8 %.</t>
  </si>
  <si>
    <t>Dátum publikovania: február 2021; aktualizácia: máj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</si>
</sst>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#,##0.0"/>
    <numFmt numFmtId="165" formatCode="0.000"/>
    <numFmt numFmtId="166" formatCode="0.0"/>
    <numFmt numFmtId="167" formatCode="0.0%"/>
  </numFmts>
  <fonts count="34" x14ac:knownFonts="1">
    <font>
      <sz val="11"/>
      <color theme="1"/>
      <name val="Arial"/>
      <family val="2"/>
      <charset val="238"/>
      <scheme val="minor"/>
    </font>
    <font>
      <sz val="10"/>
      <color indexed="8"/>
      <name val="Arial"/>
      <family val="2"/>
      <charset val="238"/>
    </font>
    <font>
      <b/>
      <sz val="10"/>
      <color theme="1"/>
      <name val="Arial"/>
      <family val="2"/>
      <charset val="238"/>
    </font>
    <font>
      <b/>
      <sz val="9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i/>
      <sz val="9"/>
      <color theme="1"/>
      <name val="Arial"/>
      <family val="2"/>
      <charset val="238"/>
    </font>
    <font>
      <sz val="9"/>
      <name val="Arial"/>
      <family val="2"/>
      <charset val="238"/>
    </font>
    <font>
      <i/>
      <sz val="9"/>
      <name val="Arial"/>
      <family val="2"/>
      <charset val="238"/>
    </font>
    <font>
      <b/>
      <sz val="10"/>
      <name val="Arial"/>
      <family val="2"/>
      <charset val="238"/>
    </font>
    <font>
      <vertAlign val="superscript"/>
      <sz val="9"/>
      <color theme="1"/>
      <name val="Arial"/>
      <family val="2"/>
      <charset val="238"/>
    </font>
    <font>
      <sz val="10"/>
      <name val="Arial CE"/>
      <charset val="238"/>
    </font>
    <font>
      <sz val="11"/>
      <color theme="1"/>
      <name val="Arial"/>
      <family val="2"/>
      <scheme val="minor"/>
    </font>
    <font>
      <sz val="9"/>
      <color rgb="FFFF0000"/>
      <name val="Arial"/>
      <family val="2"/>
      <charset val="238"/>
    </font>
    <font>
      <sz val="10"/>
      <name val="Times New Roman"/>
      <family val="1"/>
      <charset val="238"/>
    </font>
    <font>
      <vertAlign val="superscript"/>
      <sz val="9"/>
      <name val="Arial"/>
      <family val="2"/>
      <charset val="238"/>
    </font>
    <font>
      <b/>
      <sz val="9"/>
      <color indexed="8"/>
      <name val="Arial"/>
      <family val="2"/>
      <charset val="238"/>
    </font>
    <font>
      <sz val="9"/>
      <color indexed="8"/>
      <name val="Arial"/>
      <family val="2"/>
      <charset val="238"/>
    </font>
    <font>
      <sz val="10"/>
      <name val="Arial"/>
      <family val="2"/>
      <charset val="238"/>
    </font>
    <font>
      <sz val="10"/>
      <color theme="1"/>
      <name val="Arial"/>
      <family val="2"/>
      <charset val="238"/>
    </font>
    <font>
      <i/>
      <sz val="11"/>
      <color theme="1"/>
      <name val="Arial"/>
      <family val="2"/>
      <charset val="238"/>
      <scheme val="minor"/>
    </font>
    <font>
      <b/>
      <sz val="9"/>
      <name val="Arial"/>
      <family val="2"/>
      <charset val="238"/>
    </font>
    <font>
      <sz val="11"/>
      <color rgb="FF000000"/>
      <name val="Calibri"/>
      <family val="2"/>
    </font>
    <font>
      <u/>
      <sz val="9"/>
      <color rgb="FF0000FF"/>
      <name val="Arial"/>
      <family val="2"/>
      <charset val="238"/>
    </font>
    <font>
      <u/>
      <sz val="11"/>
      <color theme="10"/>
      <name val="Arial"/>
      <family val="2"/>
      <charset val="238"/>
      <scheme val="minor"/>
    </font>
    <font>
      <u/>
      <sz val="10"/>
      <color theme="10"/>
      <name val="Arial"/>
      <family val="2"/>
      <charset val="238"/>
      <scheme val="minor"/>
    </font>
    <font>
      <sz val="9"/>
      <color theme="1"/>
      <name val="Webdings"/>
      <family val="1"/>
      <charset val="2"/>
    </font>
    <font>
      <sz val="10"/>
      <color rgb="FF000000"/>
      <name val="Arial"/>
      <family val="2"/>
      <charset val="238"/>
    </font>
    <font>
      <sz val="9"/>
      <name val="Arial"/>
      <family val="2"/>
      <charset val="238"/>
      <scheme val="minor"/>
    </font>
    <font>
      <sz val="11"/>
      <color theme="1"/>
      <name val="Arial"/>
      <family val="2"/>
      <charset val="238"/>
      <scheme val="minor"/>
    </font>
    <font>
      <u/>
      <sz val="10"/>
      <color rgb="FF0000FF"/>
      <name val="Arial"/>
      <family val="2"/>
      <charset val="238"/>
      <scheme val="minor"/>
    </font>
    <font>
      <u/>
      <sz val="10"/>
      <color theme="10"/>
      <name val="Arial"/>
      <family val="2"/>
      <charset val="238"/>
    </font>
    <font>
      <u/>
      <sz val="10"/>
      <color rgb="FF0000FF"/>
      <name val="Arial"/>
      <family val="2"/>
      <charset val="238"/>
    </font>
    <font>
      <u/>
      <sz val="9"/>
      <color rgb="FF0000FF"/>
      <name val="Arial"/>
      <family val="2"/>
      <charset val="238"/>
      <scheme val="minor"/>
    </font>
    <font>
      <sz val="9"/>
      <color rgb="FF000000"/>
      <name val="Arial"/>
      <family val="2"/>
      <charset val="238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C9E7FF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2F2F2"/>
        <bgColor rgb="FFF2F2F2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 style="thin">
        <color theme="1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1"/>
      </left>
      <right style="thin">
        <color indexed="64"/>
      </right>
      <top style="thin">
        <color theme="0" tint="-0.14996795556505021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2">
    <xf numFmtId="0" fontId="0" fillId="0" borderId="0"/>
    <xf numFmtId="0" fontId="1" fillId="0" borderId="0"/>
    <xf numFmtId="0" fontId="1" fillId="0" borderId="0"/>
    <xf numFmtId="0" fontId="11" fillId="0" borderId="0"/>
    <xf numFmtId="0" fontId="13" fillId="0" borderId="0"/>
    <xf numFmtId="0" fontId="21" fillId="0" borderId="0" applyNumberFormat="0" applyBorder="0" applyAlignment="0"/>
    <xf numFmtId="0" fontId="10" fillId="0" borderId="0"/>
    <xf numFmtId="0" fontId="23" fillId="0" borderId="0" applyNumberFormat="0" applyFill="0" applyBorder="0" applyAlignment="0" applyProtection="0"/>
    <xf numFmtId="0" fontId="11" fillId="0" borderId="0"/>
    <xf numFmtId="0" fontId="26" fillId="0" borderId="0" applyNumberFormat="0" applyBorder="0" applyProtection="0"/>
    <xf numFmtId="9" fontId="28" fillId="0" borderId="0" applyFont="0" applyFill="0" applyBorder="0" applyAlignment="0" applyProtection="0"/>
    <xf numFmtId="0" fontId="23" fillId="0" borderId="0" applyNumberFormat="0" applyFill="0" applyBorder="0" applyAlignment="0" applyProtection="0"/>
  </cellStyleXfs>
  <cellXfs count="182">
    <xf numFmtId="0" fontId="0" fillId="0" borderId="0" xfId="0"/>
    <xf numFmtId="0" fontId="2" fillId="0" borderId="0" xfId="0" applyFont="1" applyFill="1" applyBorder="1"/>
    <xf numFmtId="0" fontId="4" fillId="0" borderId="0" xfId="0" applyFont="1"/>
    <xf numFmtId="0" fontId="4" fillId="0" borderId="0" xfId="0" applyFont="1" applyFill="1"/>
    <xf numFmtId="3" fontId="7" fillId="0" borderId="0" xfId="1" applyNumberFormat="1" applyFont="1" applyFill="1" applyBorder="1" applyAlignment="1">
      <alignment horizontal="left"/>
    </xf>
    <xf numFmtId="3" fontId="4" fillId="0" borderId="0" xfId="0" applyNumberFormat="1" applyFont="1"/>
    <xf numFmtId="0" fontId="8" fillId="0" borderId="0" xfId="0" applyFont="1" applyFill="1" applyBorder="1" applyAlignment="1">
      <alignment horizontal="left"/>
    </xf>
    <xf numFmtId="0" fontId="7" fillId="0" borderId="0" xfId="0" applyFont="1" applyFill="1" applyBorder="1"/>
    <xf numFmtId="0" fontId="6" fillId="0" borderId="0" xfId="0" applyFont="1" applyFill="1" applyBorder="1"/>
    <xf numFmtId="0" fontId="6" fillId="0" borderId="0" xfId="0" applyFont="1"/>
    <xf numFmtId="3" fontId="6" fillId="0" borderId="0" xfId="0" applyNumberFormat="1" applyFont="1" applyAlignment="1">
      <alignment horizontal="right"/>
    </xf>
    <xf numFmtId="3" fontId="6" fillId="0" borderId="0" xfId="0" applyNumberFormat="1" applyFont="1" applyBorder="1"/>
    <xf numFmtId="3" fontId="6" fillId="0" borderId="0" xfId="0" applyNumberFormat="1" applyFont="1" applyBorder="1" applyAlignment="1">
      <alignment horizontal="right"/>
    </xf>
    <xf numFmtId="0" fontId="6" fillId="0" borderId="0" xfId="0" applyNumberFormat="1" applyFont="1"/>
    <xf numFmtId="0" fontId="6" fillId="0" borderId="0" xfId="0" applyFont="1" applyFill="1"/>
    <xf numFmtId="164" fontId="4" fillId="0" borderId="0" xfId="0" applyNumberFormat="1" applyFont="1"/>
    <xf numFmtId="0" fontId="4" fillId="0" borderId="0" xfId="4" applyFont="1" applyBorder="1"/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164" fontId="3" fillId="0" borderId="0" xfId="0" applyNumberFormat="1" applyFont="1"/>
    <xf numFmtId="164" fontId="3" fillId="0" borderId="0" xfId="0" applyNumberFormat="1" applyFont="1" applyFill="1"/>
    <xf numFmtId="164" fontId="4" fillId="0" borderId="0" xfId="0" applyNumberFormat="1" applyFont="1" applyFill="1"/>
    <xf numFmtId="0" fontId="4" fillId="0" borderId="0" xfId="0" applyFont="1" applyFill="1" applyBorder="1" applyAlignment="1"/>
    <xf numFmtId="165" fontId="4" fillId="0" borderId="0" xfId="0" applyNumberFormat="1" applyFont="1"/>
    <xf numFmtId="165" fontId="4" fillId="0" borderId="0" xfId="0" applyNumberFormat="1" applyFont="1" applyFill="1"/>
    <xf numFmtId="165" fontId="17" fillId="0" borderId="0" xfId="0" applyNumberFormat="1" applyFont="1" applyAlignment="1">
      <alignment horizontal="left"/>
    </xf>
    <xf numFmtId="0" fontId="5" fillId="0" borderId="0" xfId="0" applyFont="1"/>
    <xf numFmtId="0" fontId="19" fillId="0" borderId="0" xfId="0" applyFont="1" applyFill="1" applyBorder="1"/>
    <xf numFmtId="0" fontId="0" fillId="0" borderId="0" xfId="0" applyFill="1" applyBorder="1"/>
    <xf numFmtId="166" fontId="4" fillId="0" borderId="0" xfId="0" applyNumberFormat="1" applyFont="1"/>
    <xf numFmtId="1" fontId="3" fillId="0" borderId="0" xfId="0" applyNumberFormat="1" applyFont="1" applyFill="1"/>
    <xf numFmtId="0" fontId="4" fillId="0" borderId="0" xfId="0" applyFont="1" applyBorder="1"/>
    <xf numFmtId="164" fontId="4" fillId="0" borderId="0" xfId="0" applyNumberFormat="1" applyFont="1" applyFill="1" applyBorder="1"/>
    <xf numFmtId="0" fontId="2" fillId="0" borderId="0" xfId="0" applyFont="1"/>
    <xf numFmtId="0" fontId="4" fillId="0" borderId="2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22" fillId="0" borderId="0" xfId="11" applyFont="1"/>
    <xf numFmtId="0" fontId="24" fillId="0" borderId="0" xfId="7" applyFont="1"/>
    <xf numFmtId="0" fontId="6" fillId="2" borderId="0" xfId="6" applyFont="1" applyFill="1"/>
    <xf numFmtId="0" fontId="6" fillId="2" borderId="0" xfId="6" applyFont="1" applyFill="1" applyAlignment="1">
      <alignment vertical="top"/>
    </xf>
    <xf numFmtId="0" fontId="6" fillId="0" borderId="0" xfId="6" applyFont="1"/>
    <xf numFmtId="0" fontId="20" fillId="3" borderId="0" xfId="6" applyFont="1" applyFill="1" applyAlignment="1">
      <alignment horizontal="left" vertical="center" wrapText="1"/>
    </xf>
    <xf numFmtId="0" fontId="6" fillId="3" borderId="0" xfId="6" applyFont="1" applyFill="1" applyAlignment="1">
      <alignment horizontal="left" vertical="center" wrapText="1"/>
    </xf>
    <xf numFmtId="0" fontId="12" fillId="2" borderId="0" xfId="6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centerContinuous"/>
    </xf>
    <xf numFmtId="0" fontId="4" fillId="0" borderId="0" xfId="0" applyFont="1" applyFill="1" applyAlignment="1">
      <alignment horizontal="centerContinuous"/>
    </xf>
    <xf numFmtId="0" fontId="4" fillId="0" borderId="0" xfId="0" applyFont="1" applyAlignment="1">
      <alignment horizontal="centerContinuous"/>
    </xf>
    <xf numFmtId="0" fontId="4" fillId="0" borderId="1" xfId="0" applyFont="1" applyBorder="1" applyAlignment="1">
      <alignment horizontal="left"/>
    </xf>
    <xf numFmtId="0" fontId="4" fillId="0" borderId="6" xfId="0" applyFont="1" applyBorder="1" applyAlignment="1">
      <alignment horizontal="left"/>
    </xf>
    <xf numFmtId="0" fontId="4" fillId="0" borderId="7" xfId="0" applyFont="1" applyBorder="1" applyAlignment="1">
      <alignment horizontal="left"/>
    </xf>
    <xf numFmtId="0" fontId="16" fillId="0" borderId="2" xfId="2" applyFont="1" applyFill="1" applyBorder="1" applyAlignment="1">
      <alignment horizontal="center" vertical="center"/>
    </xf>
    <xf numFmtId="0" fontId="8" fillId="0" borderId="0" xfId="6" applyFont="1" applyFill="1" applyAlignment="1">
      <alignment vertical="center" wrapText="1"/>
    </xf>
    <xf numFmtId="0" fontId="8" fillId="0" borderId="0" xfId="6" applyFont="1" applyFill="1" applyAlignment="1">
      <alignment vertical="center"/>
    </xf>
    <xf numFmtId="0" fontId="22" fillId="0" borderId="0" xfId="11" applyFont="1" applyFill="1"/>
    <xf numFmtId="0" fontId="24" fillId="0" borderId="0" xfId="7" applyFont="1" applyFill="1"/>
    <xf numFmtId="0" fontId="6" fillId="0" borderId="0" xfId="6" applyFont="1" applyFill="1" applyAlignment="1">
      <alignment vertical="center" wrapText="1"/>
    </xf>
    <xf numFmtId="0" fontId="4" fillId="0" borderId="0" xfId="0" applyFont="1" applyFill="1" applyAlignment="1">
      <alignment horizontal="center"/>
    </xf>
    <xf numFmtId="0" fontId="6" fillId="3" borderId="0" xfId="6" applyFont="1" applyFill="1" applyAlignment="1">
      <alignment vertical="center" wrapText="1"/>
    </xf>
    <xf numFmtId="0" fontId="6" fillId="3" borderId="0" xfId="6" applyFont="1" applyFill="1" applyAlignment="1">
      <alignment vertical="center"/>
    </xf>
    <xf numFmtId="0" fontId="6" fillId="3" borderId="0" xfId="6" applyFont="1" applyFill="1" applyAlignment="1">
      <alignment horizontal="left" vertical="center"/>
    </xf>
    <xf numFmtId="0" fontId="27" fillId="0" borderId="0" xfId="6" applyFont="1"/>
    <xf numFmtId="164" fontId="4" fillId="0" borderId="9" xfId="0" applyNumberFormat="1" applyFont="1" applyFill="1" applyBorder="1"/>
    <xf numFmtId="0" fontId="4" fillId="0" borderId="9" xfId="0" applyFont="1" applyFill="1" applyBorder="1" applyAlignment="1">
      <alignment horizontal="left" indent="1"/>
    </xf>
    <xf numFmtId="0" fontId="15" fillId="0" borderId="8" xfId="2" applyFont="1" applyFill="1" applyBorder="1" applyAlignment="1">
      <alignment horizontal="left" vertical="center"/>
    </xf>
    <xf numFmtId="164" fontId="3" fillId="0" borderId="8" xfId="0" applyNumberFormat="1" applyFont="1" applyFill="1" applyBorder="1"/>
    <xf numFmtId="164" fontId="3" fillId="0" borderId="8" xfId="0" applyNumberFormat="1" applyFont="1" applyBorder="1"/>
    <xf numFmtId="0" fontId="16" fillId="0" borderId="9" xfId="2" applyFont="1" applyFill="1" applyBorder="1" applyAlignment="1">
      <alignment horizontal="left" vertical="center" wrapText="1" indent="1"/>
    </xf>
    <xf numFmtId="164" fontId="4" fillId="0" borderId="9" xfId="0" applyNumberFormat="1" applyFont="1" applyBorder="1"/>
    <xf numFmtId="0" fontId="4" fillId="0" borderId="9" xfId="0" applyFont="1" applyBorder="1" applyAlignment="1">
      <alignment horizontal="left" indent="1"/>
    </xf>
    <xf numFmtId="0" fontId="4" fillId="0" borderId="10" xfId="0" applyFont="1" applyFill="1" applyBorder="1" applyAlignment="1">
      <alignment horizontal="left" indent="1"/>
    </xf>
    <xf numFmtId="164" fontId="4" fillId="0" borderId="10" xfId="0" applyNumberFormat="1" applyFont="1" applyFill="1" applyBorder="1"/>
    <xf numFmtId="164" fontId="4" fillId="0" borderId="10" xfId="0" applyNumberFormat="1" applyFont="1" applyBorder="1"/>
    <xf numFmtId="167" fontId="4" fillId="0" borderId="8" xfId="0" applyNumberFormat="1" applyFont="1" applyBorder="1"/>
    <xf numFmtId="167" fontId="4" fillId="0" borderId="9" xfId="0" applyNumberFormat="1" applyFont="1" applyBorder="1"/>
    <xf numFmtId="167" fontId="4" fillId="0" borderId="10" xfId="0" applyNumberFormat="1" applyFont="1" applyBorder="1"/>
    <xf numFmtId="0" fontId="3" fillId="0" borderId="8" xfId="0" applyFont="1" applyBorder="1"/>
    <xf numFmtId="4" fontId="3" fillId="0" borderId="8" xfId="0" applyNumberFormat="1" applyFont="1" applyBorder="1"/>
    <xf numFmtId="4" fontId="4" fillId="0" borderId="9" xfId="0" applyNumberFormat="1" applyFont="1" applyFill="1" applyBorder="1"/>
    <xf numFmtId="0" fontId="4" fillId="0" borderId="10" xfId="0" applyFont="1" applyBorder="1" applyAlignment="1">
      <alignment horizontal="left" indent="1"/>
    </xf>
    <xf numFmtId="4" fontId="4" fillId="0" borderId="10" xfId="0" applyNumberFormat="1" applyFont="1" applyFill="1" applyBorder="1"/>
    <xf numFmtId="0" fontId="4" fillId="0" borderId="8" xfId="0" applyFont="1" applyBorder="1" applyAlignment="1">
      <alignment horizontal="left" indent="1"/>
    </xf>
    <xf numFmtId="0" fontId="15" fillId="0" borderId="11" xfId="2" applyFont="1" applyFill="1" applyBorder="1" applyAlignment="1">
      <alignment horizontal="left" vertical="center"/>
    </xf>
    <xf numFmtId="0" fontId="16" fillId="0" borderId="12" xfId="2" applyFont="1" applyFill="1" applyBorder="1" applyAlignment="1">
      <alignment horizontal="left" vertical="center" wrapText="1" indent="1"/>
    </xf>
    <xf numFmtId="0" fontId="4" fillId="0" borderId="12" xfId="0" applyFont="1" applyBorder="1" applyAlignment="1">
      <alignment horizontal="left" indent="1"/>
    </xf>
    <xf numFmtId="0" fontId="4" fillId="0" borderId="12" xfId="0" applyFont="1" applyFill="1" applyBorder="1" applyAlignment="1">
      <alignment horizontal="left" indent="1"/>
    </xf>
    <xf numFmtId="164" fontId="4" fillId="0" borderId="9" xfId="0" applyNumberFormat="1" applyFont="1" applyBorder="1" applyAlignment="1">
      <alignment horizontal="right"/>
    </xf>
    <xf numFmtId="0" fontId="4" fillId="0" borderId="13" xfId="0" applyFont="1" applyFill="1" applyBorder="1" applyAlignment="1">
      <alignment horizontal="left" indent="1"/>
    </xf>
    <xf numFmtId="0" fontId="16" fillId="0" borderId="11" xfId="2" applyFont="1" applyFill="1" applyBorder="1" applyAlignment="1">
      <alignment horizontal="left" vertical="top" indent="1"/>
    </xf>
    <xf numFmtId="0" fontId="6" fillId="4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0" borderId="6" xfId="0" applyFont="1" applyFill="1" applyBorder="1" applyAlignment="1">
      <alignment horizontal="left" indent="1"/>
    </xf>
    <xf numFmtId="167" fontId="4" fillId="0" borderId="1" xfId="10" applyNumberFormat="1" applyFont="1" applyBorder="1"/>
    <xf numFmtId="167" fontId="4" fillId="0" borderId="9" xfId="10" applyNumberFormat="1" applyFont="1" applyFill="1" applyBorder="1"/>
    <xf numFmtId="167" fontId="4" fillId="0" borderId="9" xfId="10" applyNumberFormat="1" applyFont="1" applyBorder="1"/>
    <xf numFmtId="167" fontId="4" fillId="0" borderId="10" xfId="10" applyNumberFormat="1" applyFont="1" applyFill="1" applyBorder="1"/>
    <xf numFmtId="0" fontId="16" fillId="0" borderId="1" xfId="2" applyFont="1" applyFill="1" applyBorder="1" applyAlignment="1">
      <alignment horizontal="left" vertical="top" indent="1"/>
    </xf>
    <xf numFmtId="0" fontId="4" fillId="0" borderId="6" xfId="0" applyFont="1" applyBorder="1" applyAlignment="1">
      <alignment horizontal="left" indent="1"/>
    </xf>
    <xf numFmtId="0" fontId="4" fillId="0" borderId="7" xfId="0" applyFont="1" applyFill="1" applyBorder="1" applyAlignment="1">
      <alignment horizontal="left" indent="1"/>
    </xf>
    <xf numFmtId="0" fontId="4" fillId="0" borderId="1" xfId="0" applyFont="1" applyBorder="1" applyAlignment="1">
      <alignment horizontal="left" indent="1"/>
    </xf>
    <xf numFmtId="0" fontId="4" fillId="0" borderId="7" xfId="0" applyFont="1" applyBorder="1" applyAlignment="1">
      <alignment horizontal="left" indent="1"/>
    </xf>
    <xf numFmtId="0" fontId="3" fillId="0" borderId="2" xfId="0" applyFont="1" applyBorder="1" applyAlignment="1">
      <alignment horizontal="center" vertical="center"/>
    </xf>
    <xf numFmtId="0" fontId="15" fillId="0" borderId="2" xfId="2" applyFont="1" applyBorder="1" applyAlignment="1">
      <alignment horizontal="left" vertical="center"/>
    </xf>
    <xf numFmtId="0" fontId="3" fillId="4" borderId="0" xfId="6" applyFont="1" applyFill="1" applyBorder="1" applyAlignment="1"/>
    <xf numFmtId="0" fontId="4" fillId="4" borderId="0" xfId="6" applyFont="1" applyFill="1" applyBorder="1"/>
    <xf numFmtId="0" fontId="4" fillId="4" borderId="0" xfId="6" applyFont="1" applyFill="1" applyBorder="1" applyAlignment="1">
      <alignment vertical="center"/>
    </xf>
    <xf numFmtId="0" fontId="4" fillId="4" borderId="0" xfId="6" applyFont="1" applyFill="1" applyBorder="1" applyAlignment="1">
      <alignment horizontal="left" vertical="center"/>
    </xf>
    <xf numFmtId="0" fontId="29" fillId="0" borderId="0" xfId="11" applyFont="1" applyAlignment="1">
      <alignment horizontal="right"/>
    </xf>
    <xf numFmtId="0" fontId="17" fillId="0" borderId="0" xfId="0" applyFont="1"/>
    <xf numFmtId="0" fontId="18" fillId="0" borderId="0" xfId="0" applyFont="1"/>
    <xf numFmtId="0" fontId="30" fillId="0" borderId="0" xfId="11" applyFont="1" applyFill="1"/>
    <xf numFmtId="0" fontId="17" fillId="5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/>
    </xf>
    <xf numFmtId="0" fontId="18" fillId="0" borderId="4" xfId="0" applyFont="1" applyBorder="1" applyAlignment="1">
      <alignment vertical="center"/>
    </xf>
    <xf numFmtId="0" fontId="31" fillId="0" borderId="4" xfId="11" applyFont="1" applyFill="1" applyBorder="1" applyAlignment="1">
      <alignment vertical="center"/>
    </xf>
    <xf numFmtId="0" fontId="18" fillId="3" borderId="4" xfId="0" applyFont="1" applyFill="1" applyBorder="1" applyAlignment="1">
      <alignment vertical="center"/>
    </xf>
    <xf numFmtId="0" fontId="31" fillId="3" borderId="4" xfId="11" applyFont="1" applyFill="1" applyBorder="1" applyAlignment="1">
      <alignment horizontal="left" vertical="center"/>
    </xf>
    <xf numFmtId="0" fontId="4" fillId="0" borderId="0" xfId="0" applyFont="1" applyFill="1" applyBorder="1"/>
    <xf numFmtId="4" fontId="4" fillId="0" borderId="0" xfId="0" applyNumberFormat="1" applyFont="1"/>
    <xf numFmtId="4" fontId="3" fillId="0" borderId="0" xfId="0" applyNumberFormat="1" applyFont="1" applyBorder="1"/>
    <xf numFmtId="4" fontId="4" fillId="0" borderId="0" xfId="0" applyNumberFormat="1" applyFont="1" applyFill="1" applyBorder="1"/>
    <xf numFmtId="167" fontId="4" fillId="0" borderId="0" xfId="0" applyNumberFormat="1" applyFont="1" applyBorder="1"/>
    <xf numFmtId="4" fontId="4" fillId="0" borderId="0" xfId="0" applyNumberFormat="1" applyFont="1" applyBorder="1"/>
    <xf numFmtId="0" fontId="17" fillId="0" borderId="14" xfId="0" applyFont="1" applyBorder="1" applyAlignment="1">
      <alignment vertical="center"/>
    </xf>
    <xf numFmtId="0" fontId="17" fillId="3" borderId="4" xfId="0" applyFont="1" applyFill="1" applyBorder="1" applyAlignment="1">
      <alignment vertical="center"/>
    </xf>
    <xf numFmtId="0" fontId="17" fillId="3" borderId="14" xfId="0" applyFont="1" applyFill="1" applyBorder="1" applyAlignment="1">
      <alignment vertical="center"/>
    </xf>
    <xf numFmtId="0" fontId="17" fillId="0" borderId="4" xfId="0" applyFont="1" applyBorder="1" applyAlignment="1">
      <alignment vertical="center"/>
    </xf>
    <xf numFmtId="0" fontId="3" fillId="0" borderId="8" xfId="0" applyFont="1" applyFill="1" applyBorder="1" applyAlignment="1">
      <alignment wrapText="1"/>
    </xf>
    <xf numFmtId="3" fontId="3" fillId="0" borderId="8" xfId="0" applyNumberFormat="1" applyFont="1" applyFill="1" applyBorder="1"/>
    <xf numFmtId="0" fontId="3" fillId="0" borderId="9" xfId="0" applyFont="1" applyFill="1" applyBorder="1"/>
    <xf numFmtId="164" fontId="3" fillId="0" borderId="9" xfId="0" applyNumberFormat="1" applyFont="1" applyFill="1" applyBorder="1"/>
    <xf numFmtId="0" fontId="4" fillId="0" borderId="9" xfId="0" applyFont="1" applyFill="1" applyBorder="1"/>
    <xf numFmtId="164" fontId="4" fillId="0" borderId="9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left" indent="2"/>
    </xf>
    <xf numFmtId="0" fontId="6" fillId="0" borderId="9" xfId="0" applyFont="1" applyFill="1" applyBorder="1" applyAlignment="1">
      <alignment horizontal="left" indent="1"/>
    </xf>
    <xf numFmtId="0" fontId="3" fillId="0" borderId="10" xfId="0" applyFont="1" applyFill="1" applyBorder="1"/>
    <xf numFmtId="0" fontId="3" fillId="0" borderId="8" xfId="0" applyFont="1" applyFill="1" applyBorder="1"/>
    <xf numFmtId="164" fontId="3" fillId="0" borderId="10" xfId="0" applyNumberFormat="1" applyFont="1" applyFill="1" applyBorder="1"/>
    <xf numFmtId="0" fontId="6" fillId="0" borderId="0" xfId="0" applyFont="1" applyBorder="1"/>
    <xf numFmtId="0" fontId="3" fillId="0" borderId="0" xfId="0" applyFont="1" applyFill="1" applyBorder="1" applyAlignment="1">
      <alignment wrapText="1"/>
    </xf>
    <xf numFmtId="3" fontId="3" fillId="0" borderId="0" xfId="0" applyNumberFormat="1" applyFont="1" applyFill="1" applyBorder="1"/>
    <xf numFmtId="0" fontId="3" fillId="0" borderId="0" xfId="0" applyFont="1" applyFill="1" applyBorder="1"/>
    <xf numFmtId="164" fontId="3" fillId="0" borderId="0" xfId="0" applyNumberFormat="1" applyFont="1" applyFill="1" applyBorder="1"/>
    <xf numFmtId="0" fontId="4" fillId="0" borderId="0" xfId="0" applyFont="1" applyFill="1" applyBorder="1" applyAlignment="1">
      <alignment horizontal="left" indent="1"/>
    </xf>
    <xf numFmtId="164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 applyAlignment="1">
      <alignment horizontal="left" indent="2"/>
    </xf>
    <xf numFmtId="0" fontId="4" fillId="0" borderId="0" xfId="0" applyFont="1" applyBorder="1" applyAlignment="1">
      <alignment vertical="center" wrapText="1"/>
    </xf>
    <xf numFmtId="0" fontId="6" fillId="0" borderId="0" xfId="0" applyFont="1" applyBorder="1" applyAlignment="1">
      <alignment wrapText="1"/>
    </xf>
    <xf numFmtId="0" fontId="32" fillId="0" borderId="0" xfId="11" applyFont="1" applyAlignment="1">
      <alignment horizontal="right"/>
    </xf>
    <xf numFmtId="0" fontId="16" fillId="0" borderId="8" xfId="2" applyFont="1" applyFill="1" applyBorder="1" applyAlignment="1">
      <alignment horizontal="left" vertical="top" indent="1"/>
    </xf>
    <xf numFmtId="3" fontId="20" fillId="0" borderId="1" xfId="0" applyNumberFormat="1" applyFont="1" applyFill="1" applyBorder="1"/>
    <xf numFmtId="164" fontId="20" fillId="0" borderId="6" xfId="0" applyNumberFormat="1" applyFont="1" applyFill="1" applyBorder="1"/>
    <xf numFmtId="164" fontId="6" fillId="0" borderId="6" xfId="0" applyNumberFormat="1" applyFont="1" applyFill="1" applyBorder="1" applyAlignment="1">
      <alignment horizontal="right"/>
    </xf>
    <xf numFmtId="164" fontId="6" fillId="0" borderId="6" xfId="0" applyNumberFormat="1" applyFont="1" applyFill="1" applyBorder="1"/>
    <xf numFmtId="164" fontId="20" fillId="0" borderId="6" xfId="0" applyNumberFormat="1" applyFont="1" applyFill="1" applyBorder="1" applyAlignment="1">
      <alignment horizontal="right"/>
    </xf>
    <xf numFmtId="164" fontId="20" fillId="0" borderId="7" xfId="0" applyNumberFormat="1" applyFont="1" applyFill="1" applyBorder="1" applyAlignment="1">
      <alignment horizontal="right"/>
    </xf>
    <xf numFmtId="164" fontId="20" fillId="0" borderId="7" xfId="0" applyNumberFormat="1" applyFont="1" applyFill="1" applyBorder="1"/>
    <xf numFmtId="0" fontId="2" fillId="4" borderId="0" xfId="8" applyFont="1" applyFill="1" applyAlignment="1">
      <alignment horizontal="center" vertical="center" wrapText="1"/>
    </xf>
    <xf numFmtId="0" fontId="2" fillId="4" borderId="0" xfId="8" applyFont="1" applyFill="1" applyAlignment="1">
      <alignment horizontal="center" vertical="center"/>
    </xf>
    <xf numFmtId="0" fontId="6" fillId="4" borderId="0" xfId="6" applyFont="1" applyFill="1" applyAlignment="1">
      <alignment vertical="center" wrapText="1"/>
    </xf>
    <xf numFmtId="0" fontId="6" fillId="3" borderId="0" xfId="8" applyFont="1" applyFill="1" applyBorder="1" applyAlignment="1">
      <alignment horizontal="left" vertical="center" wrapText="1"/>
    </xf>
    <xf numFmtId="0" fontId="33" fillId="6" borderId="0" xfId="8" applyFont="1" applyFill="1" applyAlignment="1">
      <alignment horizontal="left" vertical="center" wrapText="1"/>
    </xf>
    <xf numFmtId="0" fontId="8" fillId="4" borderId="0" xfId="6" applyFont="1" applyFill="1" applyAlignment="1">
      <alignment vertical="center" wrapText="1"/>
    </xf>
    <xf numFmtId="0" fontId="8" fillId="4" borderId="0" xfId="6" applyFont="1" applyFill="1" applyAlignment="1">
      <alignment vertical="center"/>
    </xf>
    <xf numFmtId="0" fontId="20" fillId="3" borderId="0" xfId="6" applyFont="1" applyFill="1" applyAlignment="1">
      <alignment horizontal="left"/>
    </xf>
    <xf numFmtId="0" fontId="6" fillId="3" borderId="0" xfId="6" applyFont="1" applyFill="1" applyAlignment="1">
      <alignment horizontal="left" vertical="center" wrapText="1"/>
    </xf>
    <xf numFmtId="0" fontId="20" fillId="3" borderId="0" xfId="6" applyFont="1" applyFill="1" applyAlignment="1">
      <alignment horizontal="left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/>
    </xf>
    <xf numFmtId="0" fontId="4" fillId="4" borderId="5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7" xfId="0" applyFont="1" applyFill="1" applyBorder="1" applyAlignment="1">
      <alignment horizontal="center" vertical="center" wrapText="1"/>
    </xf>
    <xf numFmtId="0" fontId="4" fillId="4" borderId="3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2">
    <cellStyle name="Hypertextové prepojenie" xfId="11"/>
    <cellStyle name="Hypertextové prepojenie 2" xfId="7"/>
    <cellStyle name="Normálna 2" xfId="6"/>
    <cellStyle name="Normálna 3" xfId="8"/>
    <cellStyle name="Normálna 3 2" xfId="4"/>
    <cellStyle name="Normálne 2" xfId="3"/>
    <cellStyle name="Normálne 2 4" xfId="5"/>
    <cellStyle name="Normálne 6" xfId="9"/>
    <cellStyle name="Normálne_E01E02-2013-T512 2" xfId="2"/>
    <cellStyle name="Normálne_Hárok3" xfId="1"/>
    <cellStyle name="Normální" xfId="0" builtinId="0"/>
    <cellStyle name="Procenta" xfId="10" builtinId="5"/>
  </cellStyles>
  <dxfs count="0"/>
  <tableStyles count="0" defaultTableStyle="TableStyleMedium2" defaultPivotStyle="PivotStyleLight16"/>
  <colors>
    <mruColors>
      <color rgb="FFC9E7FF"/>
      <color rgb="FFF09D24"/>
      <color rgb="FFDDEBF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1 Štruktúra nákladov podľa formy poskytovanej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4507181069958847"/>
          <c:y val="0.13301829883999763"/>
          <c:w val="0.80728353909465023"/>
          <c:h val="0.536247710376622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'G1'!$L$6</c:f>
              <c:strCache>
                <c:ptCount val="1"/>
                <c:pt idx="0">
                  <c:v>mzdy a odvody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'G1'!$M$6:$O$6</c:f>
              <c:numCache>
                <c:formatCode>0.0%</c:formatCode>
                <c:ptCount val="3"/>
                <c:pt idx="0">
                  <c:v>9.2003527009162256E-2</c:v>
                </c:pt>
                <c:pt idx="1">
                  <c:v>0.51904643353960311</c:v>
                </c:pt>
                <c:pt idx="2">
                  <c:v>0.45293478472475773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70-4B4E-8782-F09710AE6C66}"/>
            </c:ext>
          </c:extLst>
        </c:ser>
        <c:ser>
          <c:idx val="1"/>
          <c:order val="1"/>
          <c:tx>
            <c:strRef>
              <c:f>'G1'!$L$7</c:f>
              <c:strCache>
                <c:ptCount val="1"/>
                <c:pt idx="0">
                  <c:v>lieky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4.4077134986225085E-3"/>
                  <c:y val="9.0956033858562643E-3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5F9-47E7-8F39-5E31DC1973FF}"/>
                </c:ext>
              </c:extLst>
            </c:dLbl>
            <c:dLbl>
              <c:idx val="2"/>
              <c:layout>
                <c:manualLayout>
                  <c:x val="-6.6115702479338841E-3"/>
                  <c:y val="-7.2764827086850115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'G1'!$M$7:$O$7</c:f>
              <c:numCache>
                <c:formatCode>0.0%</c:formatCode>
                <c:ptCount val="3"/>
                <c:pt idx="0">
                  <c:v>0.6211663971997855</c:v>
                </c:pt>
                <c:pt idx="1">
                  <c:v>9.825588016368797E-2</c:v>
                </c:pt>
                <c:pt idx="2">
                  <c:v>4.1436616494791106E-2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C70-4B4E-8782-F09710AE6C66}"/>
            </c:ext>
          </c:extLst>
        </c:ser>
        <c:ser>
          <c:idx val="2"/>
          <c:order val="2"/>
          <c:tx>
            <c:strRef>
              <c:f>'G1'!$L$8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'G1'!$M$8:$O$8</c:f>
              <c:numCache>
                <c:formatCode>0.0%</c:formatCode>
                <c:ptCount val="3"/>
                <c:pt idx="0">
                  <c:v>7.9330961565933958E-2</c:v>
                </c:pt>
                <c:pt idx="1">
                  <c:v>0.11912507788560574</c:v>
                </c:pt>
                <c:pt idx="2">
                  <c:v>7.1035350552821536E-2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C70-4B4E-8782-F09710AE6C66}"/>
            </c:ext>
          </c:extLst>
        </c:ser>
        <c:ser>
          <c:idx val="3"/>
          <c:order val="3"/>
          <c:tx>
            <c:strRef>
              <c:f>'G1'!$L$9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5F9-47E7-8F39-5E31DC1973F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881-4066-8EA0-A1639F1DCA6B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'G1'!$M$9:$O$9</c:f>
              <c:numCache>
                <c:formatCode>0.0%</c:formatCode>
                <c:ptCount val="3"/>
                <c:pt idx="0">
                  <c:v>0.10507101986622087</c:v>
                </c:pt>
                <c:pt idx="1">
                  <c:v>4.4855484194731741E-4</c:v>
                </c:pt>
                <c:pt idx="2">
                  <c:v>3.1245034921416543E-4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5F9-47E7-8F39-5E31DC1973FF}"/>
            </c:ext>
          </c:extLst>
        </c:ser>
        <c:ser>
          <c:idx val="4"/>
          <c:order val="4"/>
          <c:tx>
            <c:strRef>
              <c:f>'G1'!$L$10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-5.5096418732782371E-2"/>
                  <c:y val="-6.3669223700993913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9105-4B2F-A7EE-577A2598776E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'G1'!$M$10:$O$10</c:f>
              <c:numCache>
                <c:formatCode>0.0%</c:formatCode>
                <c:ptCount val="3"/>
                <c:pt idx="0">
                  <c:v>6.2552906226167985E-6</c:v>
                </c:pt>
                <c:pt idx="1">
                  <c:v>1.2004161646653319E-2</c:v>
                </c:pt>
                <c:pt idx="2">
                  <c:v>1.1285597796760951E-3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F9-47E7-8F39-5E31DC1973FF}"/>
            </c:ext>
          </c:extLst>
        </c:ser>
        <c:ser>
          <c:idx val="5"/>
          <c:order val="5"/>
          <c:tx>
            <c:strRef>
              <c:f>'G1'!$L$11</c:f>
              <c:strCache>
                <c:ptCount val="1"/>
                <c:pt idx="0">
                  <c:v>odpisy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8.8154269972451783E-3"/>
                  <c:y val="-7.882856267742095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85F9-47E7-8F39-5E31DC1973FF}"/>
                </c:ext>
              </c:extLst>
            </c:dLbl>
            <c:dLbl>
              <c:idx val="1"/>
              <c:layout>
                <c:manualLayout>
                  <c:x val="-5.7300275482093745E-2"/>
                  <c:y val="-0.10914676317077986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5F9-47E7-8F39-5E31DC1973FF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6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'G1'!$M$11:$O$11</c:f>
              <c:numCache>
                <c:formatCode>0.0%</c:formatCode>
                <c:ptCount val="3"/>
                <c:pt idx="0">
                  <c:v>1.0006678590343652E-2</c:v>
                </c:pt>
                <c:pt idx="1">
                  <c:v>3.2974770800943409E-2</c:v>
                </c:pt>
                <c:pt idx="2">
                  <c:v>6.8859357767498033E-2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F9-47E7-8F39-5E31DC1973FF}"/>
            </c:ext>
          </c:extLst>
        </c:ser>
        <c:ser>
          <c:idx val="6"/>
          <c:order val="6"/>
          <c:tx>
            <c:strRef>
              <c:f>'G1'!$L$12</c:f>
              <c:strCache>
                <c:ptCount val="1"/>
                <c:pt idx="0">
                  <c:v>spotrebu energie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85F9-47E7-8F39-5E31DC1973FF}"/>
                </c:ext>
              </c:extLst>
            </c:dLbl>
            <c:dLbl>
              <c:idx val="1"/>
              <c:layout>
                <c:manualLayout>
                  <c:x val="-1.1019283746556474E-2"/>
                  <c:y val="-9.3987901653848072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85F9-47E7-8F39-5E31DC1973FF}"/>
                </c:ext>
              </c:extLst>
            </c:dLbl>
            <c:dLbl>
              <c:idx val="2"/>
              <c:layout>
                <c:manualLayout>
                  <c:x val="-1.5426997245179144E-2"/>
                  <c:y val="-7.57966948821355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'G1'!$M$12:$O$12</c:f>
              <c:numCache>
                <c:formatCode>0.0%</c:formatCode>
                <c:ptCount val="3"/>
                <c:pt idx="0">
                  <c:v>3.3682940801157339E-3</c:v>
                </c:pt>
                <c:pt idx="1">
                  <c:v>2.2552288600419509E-2</c:v>
                </c:pt>
                <c:pt idx="2">
                  <c:v>1.5694168471452264E-2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F9-47E7-8F39-5E31DC1973FF}"/>
            </c:ext>
          </c:extLst>
        </c:ser>
        <c:ser>
          <c:idx val="7"/>
          <c:order val="7"/>
          <c:tx>
            <c:strRef>
              <c:f>'G1'!$L$13</c:f>
              <c:strCache>
                <c:ptCount val="1"/>
                <c:pt idx="0">
                  <c:v>stravovanie pacientov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85F9-47E7-8F39-5E31DC1973FF}"/>
                </c:ext>
              </c:extLst>
            </c:dLbl>
            <c:dLbl>
              <c:idx val="1"/>
              <c:layout>
                <c:manualLayout>
                  <c:x val="2.6446280991735377E-2"/>
                  <c:y val="-8.7923449874034304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85F9-47E7-8F39-5E31DC1973FF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85F9-47E7-8F39-5E31DC1973F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'G1'!$M$13:$O$13</c:f>
              <c:numCache>
                <c:formatCode>0.0%</c:formatCode>
                <c:ptCount val="3"/>
                <c:pt idx="0">
                  <c:v>0</c:v>
                </c:pt>
                <c:pt idx="1">
                  <c:v>1.3135355031751046E-2</c:v>
                </c:pt>
                <c:pt idx="2">
                  <c:v>1.1391925440202276E-5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5F9-47E7-8F39-5E31DC1973FF}"/>
            </c:ext>
          </c:extLst>
        </c:ser>
        <c:ser>
          <c:idx val="8"/>
          <c:order val="8"/>
          <c:tx>
            <c:strRef>
              <c:f>'G1'!$L$14</c:f>
              <c:strCache>
                <c:ptCount val="1"/>
                <c:pt idx="0">
                  <c:v>oprava a údržba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85F9-47E7-8F39-5E31DC1973FF}"/>
                </c:ext>
              </c:extLst>
            </c:dLbl>
            <c:dLbl>
              <c:idx val="1"/>
              <c:layout>
                <c:manualLayout>
                  <c:x val="7.0523415977961426E-2"/>
                  <c:y val="-6.3668984971246248E-2"/>
                </c:manualLayout>
              </c:layout>
              <c:dLblPos val="ct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85F9-47E7-8F39-5E31DC1973FF}"/>
                </c:ext>
              </c:extLst>
            </c:dLbl>
            <c:dLbl>
              <c:idx val="2"/>
              <c:layout>
                <c:manualLayout>
                  <c:x val="3.0853994490358128E-2"/>
                  <c:y val="-7.27648270868501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85F9-47E7-8F39-5E31DC1973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'G1'!$M$14:$O$14</c:f>
              <c:numCache>
                <c:formatCode>0.0%</c:formatCode>
                <c:ptCount val="3"/>
                <c:pt idx="0">
                  <c:v>2.8252530308174877E-3</c:v>
                </c:pt>
                <c:pt idx="1">
                  <c:v>1.6311669961783123E-2</c:v>
                </c:pt>
                <c:pt idx="2">
                  <c:v>2.7431619248319192E-2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5F9-47E7-8F39-5E31DC1973FF}"/>
            </c:ext>
          </c:extLst>
        </c:ser>
        <c:ser>
          <c:idx val="9"/>
          <c:order val="9"/>
          <c:tx>
            <c:strRef>
              <c:f>'G1'!$L$15</c:f>
              <c:strCache>
                <c:ptCount val="1"/>
                <c:pt idx="0">
                  <c:v>ostatné náklady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'G1'!$M$5:$O$5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'G1'!$M$15:$O$15</c:f>
              <c:numCache>
                <c:formatCode>0.0%</c:formatCode>
                <c:ptCount val="3"/>
                <c:pt idx="0">
                  <c:v>8.6221613366998101E-2</c:v>
                </c:pt>
                <c:pt idx="1">
                  <c:v>0.16614580752760538</c:v>
                </c:pt>
                <c:pt idx="2">
                  <c:v>0.32115570068602967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5F9-47E7-8F39-5E31DC1973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551103920"/>
        <c:axId val="830313968"/>
      </c:barChart>
      <c:catAx>
        <c:axId val="5511039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3968"/>
        <c:crossesAt val="0"/>
        <c:auto val="1"/>
        <c:lblAlgn val="ctr"/>
        <c:lblOffset val="100"/>
        <c:noMultiLvlLbl val="0"/>
      </c:catAx>
      <c:valAx>
        <c:axId val="83031396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55110392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0951666666666666"/>
          <c:y val="0.76260740740740729"/>
          <c:w val="0.8591886510054012"/>
          <c:h val="0.169427934292979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2 Štruktúra výnosov podľa formy poskytovanej zdravotnej starostlivosti</a:t>
            </a:r>
          </a:p>
        </c:rich>
      </c:tx>
      <c:layout>
        <c:manualLayout>
          <c:xMode val="edge"/>
          <c:yMode val="edge"/>
          <c:x val="0.15602201646090536"/>
          <c:y val="1.844630947446028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272345679012345"/>
          <c:y val="0.10948073493582863"/>
          <c:w val="0.77039670781892999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'G2'!$L$6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'G2'!$M$6:$O$6</c:f>
              <c:numCache>
                <c:formatCode>0.0%</c:formatCode>
                <c:ptCount val="3"/>
                <c:pt idx="0">
                  <c:v>0.52094593951182644</c:v>
                </c:pt>
                <c:pt idx="1">
                  <c:v>0.758618672242106</c:v>
                </c:pt>
                <c:pt idx="2">
                  <c:v>0.75893925017438524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80-4B2A-805B-13641AA53450}"/>
            </c:ext>
          </c:extLst>
        </c:ser>
        <c:ser>
          <c:idx val="1"/>
          <c:order val="1"/>
          <c:tx>
            <c:strRef>
              <c:f>'G2'!$L$7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776-4A82-942E-D7312CFF2B41}"/>
                </c:ext>
              </c:extLst>
            </c:dLbl>
            <c:dLbl>
              <c:idx val="1"/>
              <c:layout>
                <c:manualLayout>
                  <c:x val="-4.7950823045267585E-2"/>
                  <c:y val="-9.703764673655537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380-4B2A-805B-13641AA53450}"/>
                </c:ext>
              </c:extLst>
            </c:dLbl>
            <c:dLbl>
              <c:idx val="2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2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'G2'!$M$7:$O$7</c:f>
              <c:numCache>
                <c:formatCode>0.0%</c:formatCode>
                <c:ptCount val="3"/>
                <c:pt idx="0">
                  <c:v>0.42155932263559526</c:v>
                </c:pt>
                <c:pt idx="1">
                  <c:v>4.917100536217376E-2</c:v>
                </c:pt>
                <c:pt idx="2">
                  <c:v>0.14214468012766074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80-4B2A-805B-13641AA53450}"/>
            </c:ext>
          </c:extLst>
        </c:ser>
        <c:ser>
          <c:idx val="2"/>
          <c:order val="2"/>
          <c:tx>
            <c:strRef>
              <c:f>'G2'!$L$8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380-4B2A-805B-13641AA53450}"/>
                </c:ext>
              </c:extLst>
            </c:dLbl>
            <c:dLbl>
              <c:idx val="1"/>
              <c:layout>
                <c:manualLayout>
                  <c:x val="4.444300411522624E-2"/>
                  <c:y val="-9.9330318378923504E-2"/>
                </c:manualLayout>
              </c:layout>
              <c:numFmt formatCode="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380-4B2A-805B-13641AA53450}"/>
                </c:ext>
              </c:extLst>
            </c:dLbl>
            <c:dLbl>
              <c:idx val="2"/>
              <c:layout>
                <c:manualLayout>
                  <c:x val="4.1841452194905197E-2"/>
                  <c:y val="-9.0981677319186133E-2"/>
                </c:manualLayout>
              </c:layout>
              <c:numFmt formatCode="0.0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ysClr val="windowText" lastClr="000000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380-4B2A-805B-13641AA5345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'G2'!$M$8:$O$8</c:f>
              <c:numCache>
                <c:formatCode>0.0%</c:formatCode>
                <c:ptCount val="3"/>
                <c:pt idx="0">
                  <c:v>4.2092939611321633E-5</c:v>
                </c:pt>
                <c:pt idx="1">
                  <c:v>6.8598917947668026E-3</c:v>
                </c:pt>
                <c:pt idx="2">
                  <c:v>7.9856962313477181E-4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380-4B2A-805B-13641AA53450}"/>
            </c:ext>
          </c:extLst>
        </c:ser>
        <c:ser>
          <c:idx val="3"/>
          <c:order val="3"/>
          <c:tx>
            <c:strRef>
              <c:f>'G2'!$L$9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7.8395061728395062E-3"/>
                  <c:y val="-7.62904407859861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498-4263-8A48-4959083B89F8}"/>
                </c:ext>
              </c:extLst>
            </c:dLbl>
            <c:dLbl>
              <c:idx val="2"/>
              <c:layout>
                <c:manualLayout>
                  <c:x val="5.2263374485596705E-3"/>
                  <c:y val="6.5532989634647028E-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776-4A82-942E-D7312CFF2B41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'G2'!$M$5:$O$5</c:f>
              <c:strCache>
                <c:ptCount val="3"/>
                <c:pt idx="0">
                  <c:v>lekárenská
starostlivosť</c:v>
                </c:pt>
                <c:pt idx="1">
                  <c:v>ústavná
zdravotná
starostlivosť</c:v>
                </c:pt>
                <c:pt idx="2">
                  <c:v>ambulantná
zdravotná
starostlivosť</c:v>
                </c:pt>
              </c:strCache>
            </c:strRef>
          </c:cat>
          <c:val>
            <c:numRef>
              <c:f>'G2'!$M$9:$O$9</c:f>
              <c:numCache>
                <c:formatCode>0.0%</c:formatCode>
                <c:ptCount val="3"/>
                <c:pt idx="0">
                  <c:v>5.7452644912966151E-2</c:v>
                </c:pt>
                <c:pt idx="1">
                  <c:v>0.18535043060095363</c:v>
                </c:pt>
                <c:pt idx="2">
                  <c:v>9.8117500074818953E-2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380-4B2A-805B-13641AA534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9616"/>
        <c:axId val="830308528"/>
      </c:barChart>
      <c:catAx>
        <c:axId val="830309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8528"/>
        <c:crosses val="autoZero"/>
        <c:auto val="1"/>
        <c:lblAlgn val="ctr"/>
        <c:lblOffset val="100"/>
        <c:noMultiLvlLbl val="0"/>
      </c:catAx>
      <c:valAx>
        <c:axId val="83030852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9616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8286707818930042"/>
          <c:y val="0.84923700544645442"/>
          <c:w val="0.81713292181069963"/>
          <c:h val="0.12003644944883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3 Štruktúra nákladov v zariadeniach ústavnej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18751069958847735"/>
          <c:y val="0.13381274524064074"/>
          <c:w val="0.76484465020576131"/>
          <c:h val="0.58323136428898859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'G3'!$N$6</c:f>
              <c:strCache>
                <c:ptCount val="1"/>
                <c:pt idx="0">
                  <c:v>mzdy a odvody 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'G3'!$O$6:$R$6</c:f>
              <c:numCache>
                <c:formatCode>0.0%</c:formatCode>
                <c:ptCount val="4"/>
                <c:pt idx="0">
                  <c:v>0.39063010254140412</c:v>
                </c:pt>
                <c:pt idx="1">
                  <c:v>0.70712455650029193</c:v>
                </c:pt>
                <c:pt idx="2">
                  <c:v>0.51572947035694605</c:v>
                </c:pt>
                <c:pt idx="3">
                  <c:v>0.53431122847818968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B8-4AEB-945B-97776E20CCAF}"/>
            </c:ext>
          </c:extLst>
        </c:ser>
        <c:ser>
          <c:idx val="1"/>
          <c:order val="1"/>
          <c:tx>
            <c:strRef>
              <c:f>'G3'!$N$7</c:f>
              <c:strCache>
                <c:ptCount val="1"/>
                <c:pt idx="0">
                  <c:v>lieky 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3B8-4AEB-945B-97776E20CCAF}"/>
                </c:ext>
              </c:extLst>
            </c:dLbl>
            <c:dLbl>
              <c:idx val="1"/>
              <c:layout>
                <c:manualLayout>
                  <c:x val="-5.9802414994313942E-2"/>
                  <c:y val="-5.35614933406862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'G3'!$O$7:$R$7</c:f>
              <c:numCache>
                <c:formatCode>0.0%</c:formatCode>
                <c:ptCount val="4"/>
                <c:pt idx="0">
                  <c:v>7.4048011749090863E-3</c:v>
                </c:pt>
                <c:pt idx="1">
                  <c:v>3.1515196892617295E-2</c:v>
                </c:pt>
                <c:pt idx="2">
                  <c:v>0.11406473463371966</c:v>
                </c:pt>
                <c:pt idx="3">
                  <c:v>9.4919732311803076E-2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3B8-4AEB-945B-97776E20CCAF}"/>
            </c:ext>
          </c:extLst>
        </c:ser>
        <c:ser>
          <c:idx val="2"/>
          <c:order val="2"/>
          <c:tx>
            <c:strRef>
              <c:f>'G3'!$N$8</c:f>
              <c:strCache>
                <c:ptCount val="1"/>
                <c:pt idx="0">
                  <c:v>zdravotnícke pomôcky</c:v>
                </c:pt>
              </c:strCache>
            </c:strRef>
          </c:tx>
          <c:spPr>
            <a:solidFill>
              <a:schemeClr val="accent4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3B8-4AEB-945B-97776E20CC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'G3'!$O$8:$R$8</c:f>
              <c:numCache>
                <c:formatCode>0.0%</c:formatCode>
                <c:ptCount val="4"/>
                <c:pt idx="0">
                  <c:v>4.2214174944125967E-3</c:v>
                </c:pt>
                <c:pt idx="1">
                  <c:v>7.9993258158821429E-3</c:v>
                </c:pt>
                <c:pt idx="2">
                  <c:v>0.12458070364534564</c:v>
                </c:pt>
                <c:pt idx="3">
                  <c:v>0.12946493068668691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B8-4AEB-945B-97776E20CCAF}"/>
            </c:ext>
          </c:extLst>
        </c:ser>
        <c:ser>
          <c:idx val="3"/>
          <c:order val="3"/>
          <c:tx>
            <c:strRef>
              <c:f>'G3'!$N$9</c:f>
              <c:strCache>
                <c:ptCount val="1"/>
                <c:pt idx="0">
                  <c:v>doplnkový sortiment lekárni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'G3'!$O$9:$R$9</c:f>
              <c:numCache>
                <c:formatCode>0.0%</c:formatCode>
                <c:ptCount val="4"/>
                <c:pt idx="0">
                  <c:v>8.5904525658224255E-4</c:v>
                </c:pt>
                <c:pt idx="1">
                  <c:v>0</c:v>
                </c:pt>
                <c:pt idx="2">
                  <c:v>2.1293806145465929E-4</c:v>
                </c:pt>
                <c:pt idx="3">
                  <c:v>6.3583018828998223E-4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3B8-4AEB-945B-97776E20CCAF}"/>
            </c:ext>
          </c:extLst>
        </c:ser>
        <c:ser>
          <c:idx val="4"/>
          <c:order val="4"/>
          <c:tx>
            <c:strRef>
              <c:f>'G3'!$N$10</c:f>
              <c:strCache>
                <c:ptCount val="1"/>
                <c:pt idx="0">
                  <c:v>krv a krvné výrobky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63B8-4AEB-945B-97776E20CCAF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63B8-4AEB-945B-97776E20CCAF}"/>
                </c:ext>
              </c:extLst>
            </c:dLbl>
            <c:dLbl>
              <c:idx val="2"/>
              <c:layout>
                <c:manualLayout>
                  <c:x val="-7.0487287312473293E-2"/>
                  <c:y val="-4.893096752319404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63B8-4AEB-945B-97776E20CCAF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'G3'!$O$10:$R$10</c:f>
              <c:numCache>
                <c:formatCode>0.0%</c:formatCode>
                <c:ptCount val="4"/>
                <c:pt idx="0">
                  <c:v>0</c:v>
                </c:pt>
                <c:pt idx="1">
                  <c:v>4.9234579288468536E-5</c:v>
                </c:pt>
                <c:pt idx="2">
                  <c:v>1.613771757218694E-2</c:v>
                </c:pt>
                <c:pt idx="3">
                  <c:v>9.6353386766081291E-3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63B8-4AEB-945B-97776E20CCAF}"/>
            </c:ext>
          </c:extLst>
        </c:ser>
        <c:ser>
          <c:idx val="5"/>
          <c:order val="5"/>
          <c:tx>
            <c:strRef>
              <c:f>'G3'!$N$11</c:f>
              <c:strCache>
                <c:ptCount val="1"/>
                <c:pt idx="0">
                  <c:v>odpisy </c:v>
                </c:pt>
              </c:strCache>
            </c:strRef>
          </c:tx>
          <c:spPr>
            <a:solidFill>
              <a:schemeClr val="accent2">
                <a:lumMod val="9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9.3252518914708181E-4"/>
                  <c:y val="-6.9305202995357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63B8-4AEB-945B-97776E20CCAF}"/>
                </c:ext>
              </c:extLst>
            </c:dLbl>
            <c:dLbl>
              <c:idx val="1"/>
              <c:layout>
                <c:manualLayout>
                  <c:x val="-1.8642195468711886E-3"/>
                  <c:y val="-7.478961517972236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2-63B8-4AEB-945B-97776E20CCAF}"/>
                </c:ext>
              </c:extLst>
            </c:dLbl>
            <c:dLbl>
              <c:idx val="2"/>
              <c:layout>
                <c:manualLayout>
                  <c:x val="-5.5604556146590566E-2"/>
                  <c:y val="-8.44391809982928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3-63B8-4AEB-945B-97776E20CCAF}"/>
                </c:ext>
              </c:extLst>
            </c:dLbl>
            <c:dLbl>
              <c:idx val="3"/>
              <c:layout>
                <c:manualLayout>
                  <c:x val="-6.2739237908245635E-2"/>
                  <c:y val="-6.40382636896148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4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>
                      <a:softEdge rad="0"/>
                    </a:effectLst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'G3'!$O$11:$R$11</c:f>
              <c:numCache>
                <c:formatCode>0.0%</c:formatCode>
                <c:ptCount val="4"/>
                <c:pt idx="0">
                  <c:v>5.8091809077268276E-2</c:v>
                </c:pt>
                <c:pt idx="1">
                  <c:v>3.7419688076751681E-2</c:v>
                </c:pt>
                <c:pt idx="2">
                  <c:v>3.3404782350269384E-2</c:v>
                </c:pt>
                <c:pt idx="3">
                  <c:v>2.948578509966495E-2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5-63B8-4AEB-945B-97776E20CCAF}"/>
            </c:ext>
          </c:extLst>
        </c:ser>
        <c:ser>
          <c:idx val="6"/>
          <c:order val="6"/>
          <c:tx>
            <c:strRef>
              <c:f>'G3'!$N$12</c:f>
              <c:strCache>
                <c:ptCount val="1"/>
                <c:pt idx="0">
                  <c:v>stravovanie pacientov 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1"/>
              <c:layout>
                <c:manualLayout>
                  <c:x val="4.2206236287125817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7-63B8-4AEB-945B-97776E20CCAF}"/>
                </c:ext>
              </c:extLst>
            </c:dLbl>
            <c:dLbl>
              <c:idx val="2"/>
              <c:layout>
                <c:manualLayout>
                  <c:x val="-2.1103118143563681E-3"/>
                  <c:y val="-7.692309910965908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8-63B8-4AEB-945B-97776E20CCAF}"/>
                </c:ext>
              </c:extLst>
            </c:dLbl>
            <c:dLbl>
              <c:idx val="3"/>
              <c:layout>
                <c:manualLayout>
                  <c:x val="-1.8992806329207468E-2"/>
                  <c:y val="-8.05861038291666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9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'G3'!$O$12:$R$12</c:f>
              <c:numCache>
                <c:formatCode>0.0%</c:formatCode>
                <c:ptCount val="4"/>
                <c:pt idx="0">
                  <c:v>7.5329361970171246E-2</c:v>
                </c:pt>
                <c:pt idx="1">
                  <c:v>4.4750976724145325E-2</c:v>
                </c:pt>
                <c:pt idx="2">
                  <c:v>8.8691473800188349E-3</c:v>
                </c:pt>
                <c:pt idx="3">
                  <c:v>9.3070238741752003E-3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A-63B8-4AEB-945B-97776E20CCAF}"/>
            </c:ext>
          </c:extLst>
        </c:ser>
        <c:ser>
          <c:idx val="7"/>
          <c:order val="7"/>
          <c:tx>
            <c:strRef>
              <c:f>'G3'!$N$13</c:f>
              <c:strCache>
                <c:ptCount val="1"/>
                <c:pt idx="0">
                  <c:v>spotreba energie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-1.2162707367214937E-2"/>
                  <c:y val="-7.30939612627156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B-63B8-4AEB-945B-97776E20CCAF}"/>
                </c:ext>
              </c:extLst>
            </c:dLbl>
            <c:dLbl>
              <c:idx val="1"/>
              <c:layout>
                <c:manualLayout>
                  <c:x val="1.5335486405271591E-3"/>
                  <c:y val="-7.057110281535081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C-63B8-4AEB-945B-97776E20CCAF}"/>
                </c:ext>
              </c:extLst>
            </c:dLbl>
            <c:dLbl>
              <c:idx val="2"/>
              <c:layout>
                <c:manualLayout>
                  <c:x val="5.6389858007586488E-2"/>
                  <c:y val="-8.14969517743796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D-63B8-4AEB-945B-97776E20CCAF}"/>
                </c:ext>
              </c:extLst>
            </c:dLbl>
            <c:dLbl>
              <c:idx val="3"/>
              <c:layout>
                <c:manualLayout>
                  <c:x val="4.5802905517185917E-2"/>
                  <c:y val="-8.44841753869733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E-63B8-4AEB-945B-97776E20CCAF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'G3'!$O$13:$R$13</c:f>
              <c:numCache>
                <c:formatCode>0.0%</c:formatCode>
                <c:ptCount val="4"/>
                <c:pt idx="0">
                  <c:v>5.7781245176119697E-2</c:v>
                </c:pt>
                <c:pt idx="1">
                  <c:v>3.0348556819938664E-2</c:v>
                </c:pt>
                <c:pt idx="2">
                  <c:v>1.9570894658239673E-2</c:v>
                </c:pt>
                <c:pt idx="3">
                  <c:v>2.1106890691868281E-2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F-63B8-4AEB-945B-97776E20CCAF}"/>
            </c:ext>
          </c:extLst>
        </c:ser>
        <c:ser>
          <c:idx val="8"/>
          <c:order val="8"/>
          <c:tx>
            <c:strRef>
              <c:f>'G3'!$N$14</c:f>
              <c:strCache>
                <c:ptCount val="1"/>
                <c:pt idx="0">
                  <c:v>oprava a údržba </c:v>
                </c:pt>
              </c:strCache>
            </c:strRef>
          </c:tx>
          <c:spPr>
            <a:solidFill>
              <a:schemeClr val="accent5">
                <a:lumMod val="20000"/>
                <a:lumOff val="80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layout>
                <c:manualLayout>
                  <c:x val="5.2757795358909204E-2"/>
                  <c:y val="-6.95970896706439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C14-4029-AFE2-BF5A62675168}"/>
                </c:ext>
              </c:extLst>
            </c:dLbl>
            <c:dLbl>
              <c:idx val="1"/>
              <c:layout>
                <c:manualLayout>
                  <c:x val="5.4868107173265415E-2"/>
                  <c:y val="-6.227108023162880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2C14-4029-AFE2-BF5A62675168}"/>
                </c:ext>
              </c:extLst>
            </c:dLbl>
            <c:dLbl>
              <c:idx val="2"/>
              <c:layout>
                <c:manualLayout>
                  <c:x val="8.4412472574254729E-2"/>
                  <c:y val="-5.1282066073106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C14-4029-AFE2-BF5A62675168}"/>
                </c:ext>
              </c:extLst>
            </c:dLbl>
            <c:dLbl>
              <c:idx val="3"/>
              <c:layout>
                <c:manualLayout>
                  <c:x val="8.2302160759898199E-2"/>
                  <c:y val="-5.128206607310607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C14-4029-AFE2-BF5A62675168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'G3'!$O$14:$R$14</c:f>
              <c:numCache>
                <c:formatCode>0.0%</c:formatCode>
                <c:ptCount val="4"/>
                <c:pt idx="0">
                  <c:v>2.2823283539396912E-2</c:v>
                </c:pt>
                <c:pt idx="1">
                  <c:v>1.8568877527031461E-2</c:v>
                </c:pt>
                <c:pt idx="2">
                  <c:v>1.6911288733465549E-2</c:v>
                </c:pt>
                <c:pt idx="3">
                  <c:v>1.4914709106885776E-2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0-63B8-4AEB-945B-97776E20CCAF}"/>
            </c:ext>
          </c:extLst>
        </c:ser>
        <c:ser>
          <c:idx val="9"/>
          <c:order val="9"/>
          <c:tx>
            <c:strRef>
              <c:f>'G3'!$N$15</c:f>
              <c:strCache>
                <c:ptCount val="1"/>
                <c:pt idx="0">
                  <c:v>ostatné náklady 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'G3'!$O$5:$R$5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'G3'!$O$15:$R$15</c:f>
              <c:numCache>
                <c:formatCode>0.0%</c:formatCode>
                <c:ptCount val="4"/>
                <c:pt idx="0">
                  <c:v>0.3828589337697359</c:v>
                </c:pt>
                <c:pt idx="1">
                  <c:v>0.12222358706405313</c:v>
                </c:pt>
                <c:pt idx="2">
                  <c:v>0.15051832260835368</c:v>
                </c:pt>
                <c:pt idx="3">
                  <c:v>0.15621853088582813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14-4029-AFE2-BF5A626751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5808"/>
        <c:axId val="830303088"/>
      </c:barChart>
      <c:catAx>
        <c:axId val="8303058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3088"/>
        <c:crosses val="autoZero"/>
        <c:auto val="1"/>
        <c:lblAlgn val="ctr"/>
        <c:lblOffset val="100"/>
        <c:noMultiLvlLbl val="0"/>
      </c:catAx>
      <c:valAx>
        <c:axId val="830303088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5808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3576399176954732"/>
          <c:y val="0.81074879151864265"/>
          <c:w val="0.86423599733336343"/>
          <c:h val="0.157643897679299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cs-CZ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000" b="1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sk-SK" sz="1000" b="1"/>
              <a:t>G 4 Štruktúra výnosov v zariadeniach ústavnej zdravotnej starostlivosti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1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title>
    <c:autoTitleDeleted val="0"/>
    <c:plotArea>
      <c:layout>
        <c:manualLayout>
          <c:layoutTarget val="inner"/>
          <c:xMode val="edge"/>
          <c:yMode val="edge"/>
          <c:x val="0.22236152263374487"/>
          <c:y val="0.11924465043190895"/>
          <c:w val="0.73522016460905348"/>
          <c:h val="0.64384602790461343"/>
        </c:manualLayout>
      </c:layout>
      <c:barChart>
        <c:barDir val="bar"/>
        <c:grouping val="percentStacked"/>
        <c:varyColors val="0"/>
        <c:ser>
          <c:idx val="0"/>
          <c:order val="0"/>
          <c:tx>
            <c:strRef>
              <c:f>'G4'!$L$6</c:f>
              <c:strCache>
                <c:ptCount val="1"/>
                <c:pt idx="0">
                  <c:v>tržby od zdravotných poisťovní</c:v>
                </c:pt>
              </c:strCache>
            </c:strRef>
          </c:tx>
          <c:spPr>
            <a:solidFill>
              <a:schemeClr val="accent3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bg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'G4'!$M$5:$P$5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'G4'!$M$6:$P$6</c:f>
              <c:numCache>
                <c:formatCode>0.0%</c:formatCode>
                <c:ptCount val="4"/>
                <c:pt idx="0">
                  <c:v>0.38692812154412742</c:v>
                </c:pt>
                <c:pt idx="1">
                  <c:v>0.86782099107523758</c:v>
                </c:pt>
                <c:pt idx="2">
                  <c:v>0.71363597804795853</c:v>
                </c:pt>
                <c:pt idx="3">
                  <c:v>0.84698727217036784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4F-401A-9E49-27ABF2F55EB6}"/>
            </c:ext>
          </c:extLst>
        </c:ser>
        <c:ser>
          <c:idx val="1"/>
          <c:order val="1"/>
          <c:tx>
            <c:strRef>
              <c:f>'G4'!$L$7</c:f>
              <c:strCache>
                <c:ptCount val="1"/>
                <c:pt idx="0">
                  <c:v>tržby od obyvateľstva</c:v>
                </c:pt>
              </c:strCache>
            </c:strRef>
          </c:tx>
          <c:spPr>
            <a:solidFill>
              <a:schemeClr val="accent1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numFmt formatCode="0.0\ 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800" b="0" i="0" u="none" strike="noStrike" kern="1200" baseline="0">
                      <a:solidFill>
                        <a:schemeClr val="bg1"/>
                      </a:solidFill>
                      <a:latin typeface="Arial" panose="020B0604020202020204" pitchFamily="34" charset="0"/>
                      <a:ea typeface="+mn-ea"/>
                      <a:cs typeface="Arial" panose="020B0604020202020204" pitchFamily="34" charset="0"/>
                    </a:defRPr>
                  </a:pPr>
                  <a:endParaRPr lang="sk-SK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6A83-4109-86D6-27801AEE96D5}"/>
                </c:ext>
              </c:extLst>
            </c:dLbl>
            <c:dLbl>
              <c:idx val="1"/>
              <c:layout>
                <c:manualLayout>
                  <c:x val="-4.6620046620046623E-2"/>
                  <c:y val="-6.65687611519633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54F-401A-9E49-27ABF2F55EB6}"/>
                </c:ext>
              </c:extLst>
            </c:dLbl>
            <c:dLbl>
              <c:idx val="2"/>
              <c:layout>
                <c:manualLayout>
                  <c:x val="-4.1958066052554241E-2"/>
                  <c:y val="-7.39743400979339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4F-401A-9E49-27ABF2F55EB6}"/>
                </c:ext>
              </c:extLst>
            </c:dLbl>
            <c:dLbl>
              <c:idx val="3"/>
              <c:layout>
                <c:manualLayout>
                  <c:x val="4.0410016315528124E-2"/>
                  <c:y val="-8.09536235391188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'G4'!$M$5:$P$5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'G4'!$M$7:$P$7</c:f>
              <c:numCache>
                <c:formatCode>0.0%</c:formatCode>
                <c:ptCount val="4"/>
                <c:pt idx="0">
                  <c:v>0.52588557887359688</c:v>
                </c:pt>
                <c:pt idx="1">
                  <c:v>1.5505825924111549E-2</c:v>
                </c:pt>
                <c:pt idx="2">
                  <c:v>1.3206816270748403E-2</c:v>
                </c:pt>
                <c:pt idx="3">
                  <c:v>2.7758561839456054E-2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54F-401A-9E49-27ABF2F55EB6}"/>
            </c:ext>
          </c:extLst>
        </c:ser>
        <c:ser>
          <c:idx val="2"/>
          <c:order val="2"/>
          <c:tx>
            <c:strRef>
              <c:f>'G4'!$L$8</c:f>
              <c:strCache>
                <c:ptCount val="1"/>
                <c:pt idx="0">
                  <c:v>prevádzkové dotácie</c:v>
                </c:pt>
              </c:strCache>
            </c:strRef>
          </c:tx>
          <c:spPr>
            <a:solidFill>
              <a:schemeClr val="accent5"/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dLbl>
              <c:idx val="0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54F-401A-9E49-27ABF2F55EB6}"/>
                </c:ext>
              </c:extLst>
            </c:dLbl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4F-401A-9E49-27ABF2F55EB6}"/>
                </c:ext>
              </c:extLst>
            </c:dLbl>
            <c:dLbl>
              <c:idx val="2"/>
              <c:layout>
                <c:manualLayout>
                  <c:x val="2.097902097902098E-2"/>
                  <c:y val="-7.83161895905450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54F-401A-9E49-27ABF2F55EB6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4F-401A-9E49-27ABF2F55EB6}"/>
                </c:ext>
              </c:extLst>
            </c:dLbl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3175" cap="flat" cmpd="sng" algn="ctr">
                      <a:solidFill>
                        <a:schemeClr val="bg1">
                          <a:lumMod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'G4'!$M$5:$P$5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'G4'!$M$8:$P$8</c:f>
              <c:numCache>
                <c:formatCode>0.0%</c:formatCode>
                <c:ptCount val="4"/>
                <c:pt idx="0">
                  <c:v>1.7004289896867285E-3</c:v>
                </c:pt>
                <c:pt idx="1">
                  <c:v>1.3950099200467258E-4</c:v>
                </c:pt>
                <c:pt idx="2">
                  <c:v>1.39086281170755E-2</c:v>
                </c:pt>
                <c:pt idx="3">
                  <c:v>5.4722468937662915E-4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54F-401A-9E49-27ABF2F55EB6}"/>
            </c:ext>
          </c:extLst>
        </c:ser>
        <c:ser>
          <c:idx val="3"/>
          <c:order val="3"/>
          <c:tx>
            <c:strRef>
              <c:f>'G4'!$L$9</c:f>
              <c:strCache>
                <c:ptCount val="1"/>
                <c:pt idx="0">
                  <c:v>ostatné výnosy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 w="3175"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invertIfNegative val="0"/>
          <c:dLbls>
            <c:numFmt formatCode="0.0\ 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sk-SK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'G4'!$M$5:$P$5</c:f>
              <c:strCache>
                <c:ptCount val="4"/>
                <c:pt idx="0">
                  <c:v>ostatní
ústavní PZS 1)</c:v>
                </c:pt>
                <c:pt idx="1">
                  <c:v>liečebne</c:v>
                </c:pt>
                <c:pt idx="2">
                  <c:v>fakultné
nemocnice</c:v>
                </c:pt>
                <c:pt idx="3">
                  <c:v>všeobecné
a špecializované
nemocnice </c:v>
                </c:pt>
              </c:strCache>
            </c:strRef>
          </c:cat>
          <c:val>
            <c:numRef>
              <c:f>'G4'!$M$9:$P$9</c:f>
              <c:numCache>
                <c:formatCode>0.0%</c:formatCode>
                <c:ptCount val="4"/>
                <c:pt idx="0">
                  <c:v>8.5485870592588803E-2</c:v>
                </c:pt>
                <c:pt idx="1">
                  <c:v>0.11653368200864624</c:v>
                </c:pt>
                <c:pt idx="2">
                  <c:v>0.25924857756421749</c:v>
                </c:pt>
                <c:pt idx="3">
                  <c:v>0.12470694130079976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854F-401A-9E49-27ABF2F55E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830302000"/>
        <c:axId val="830316144"/>
      </c:barChart>
      <c:catAx>
        <c:axId val="8303020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3175" cap="flat" cmpd="sng" algn="ctr">
            <a:solidFill>
              <a:schemeClr val="bg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16144"/>
        <c:crosses val="autoZero"/>
        <c:auto val="1"/>
        <c:lblAlgn val="ctr"/>
        <c:lblOffset val="100"/>
        <c:noMultiLvlLbl val="0"/>
      </c:catAx>
      <c:valAx>
        <c:axId val="830316144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sk-SK"/>
          </a:p>
        </c:txPr>
        <c:crossAx val="830302000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1783216783216783"/>
          <c:y val="0.8446320987654321"/>
          <c:w val="0.76946386946386947"/>
          <c:h val="0.1279570987654320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8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sk-SK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 sz="800">
          <a:solidFill>
            <a:sysClr val="windowText" lastClr="000000"/>
          </a:solidFill>
          <a:latin typeface="Arial" panose="020B0604020202020204" pitchFamily="34" charset="0"/>
          <a:cs typeface="Arial" panose="020B0604020202020204" pitchFamily="34" charset="0"/>
        </a:defRPr>
      </a:pPr>
      <a:endParaRPr lang="sk-S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247650</xdr:colOff>
      <xdr:row>3</xdr:row>
      <xdr:rowOff>2163</xdr:rowOff>
    </xdr:from>
    <xdr:to>
      <xdr:col>10</xdr:col>
      <xdr:colOff>238125</xdr:colOff>
      <xdr:row>25</xdr:row>
      <xdr:rowOff>85725</xdr:rowOff>
    </xdr:to>
    <xdr:graphicFrame macro="">
      <xdr:nvGraphicFramePr>
        <xdr:cNvPr id="2" name="Graf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34201</xdr:rowOff>
    </xdr:from>
    <xdr:to>
      <xdr:col>10</xdr:col>
      <xdr:colOff>30825</xdr:colOff>
      <xdr:row>18</xdr:row>
      <xdr:rowOff>57149</xdr:rowOff>
    </xdr:to>
    <xdr:graphicFrame macro="">
      <xdr:nvGraphicFramePr>
        <xdr:cNvPr id="3" name="Graf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382732</xdr:colOff>
      <xdr:row>3</xdr:row>
      <xdr:rowOff>66675</xdr:rowOff>
    </xdr:from>
    <xdr:to>
      <xdr:col>12</xdr:col>
      <xdr:colOff>238125</xdr:colOff>
      <xdr:row>20</xdr:row>
      <xdr:rowOff>114299</xdr:rowOff>
    </xdr:to>
    <xdr:graphicFrame macro="">
      <xdr:nvGraphicFramePr>
        <xdr:cNvPr id="4" name="Graf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609600</xdr:colOff>
      <xdr:row>2</xdr:row>
      <xdr:rowOff>161059</xdr:rowOff>
    </xdr:from>
    <xdr:to>
      <xdr:col>10</xdr:col>
      <xdr:colOff>561975</xdr:colOff>
      <xdr:row>20</xdr:row>
      <xdr:rowOff>142874</xdr:rowOff>
    </xdr:to>
    <xdr:graphicFrame macro="">
      <xdr:nvGraphicFramePr>
        <xdr:cNvPr id="5" name="Graf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Rocenka_tema">
  <a:themeElements>
    <a:clrScheme name="Vlastné 2">
      <a:dk1>
        <a:sysClr val="windowText" lastClr="000000"/>
      </a:dk1>
      <a:lt1>
        <a:sysClr val="window" lastClr="FFFFFF"/>
      </a:lt1>
      <a:dk2>
        <a:srgbClr val="8B8D8E"/>
      </a:dk2>
      <a:lt2>
        <a:srgbClr val="E2E2E2"/>
      </a:lt2>
      <a:accent1>
        <a:srgbClr val="005293"/>
      </a:accent1>
      <a:accent2>
        <a:srgbClr val="C9E7FF"/>
      </a:accent2>
      <a:accent3>
        <a:srgbClr val="C60C30"/>
      </a:accent3>
      <a:accent4>
        <a:srgbClr val="FDD7DE"/>
      </a:accent4>
      <a:accent5>
        <a:srgbClr val="FFC000"/>
      </a:accent5>
      <a:accent6>
        <a:srgbClr val="10B898"/>
      </a:accent6>
      <a:hlink>
        <a:srgbClr val="0563C1"/>
      </a:hlink>
      <a:folHlink>
        <a:srgbClr val="954F72"/>
      </a:folHlink>
    </a:clrScheme>
    <a:fontScheme name="Arial">
      <a:maj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Arial" panose="020B0604020202020204"/>
        <a:ea typeface=""/>
        <a:cs typeface=""/>
        <a:font script="Jpan" typeface="ＭＳ Ｐゴシック"/>
        <a:font script="Hang" typeface="굴림"/>
        <a:font script="Hans" typeface="黑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>
      <selection sqref="A1:C1"/>
    </sheetView>
  </sheetViews>
  <sheetFormatPr defaultRowHeight="15" customHeight="1" x14ac:dyDescent="0.2"/>
  <cols>
    <col min="1" max="1" width="8.125" style="3" customWidth="1"/>
    <col min="2" max="2" width="92.5" style="3" customWidth="1"/>
    <col min="3" max="16384" width="9" style="3"/>
  </cols>
  <sheetData>
    <row r="1" spans="1:3" ht="15" customHeight="1" x14ac:dyDescent="0.2">
      <c r="A1" s="158" t="s">
        <v>148</v>
      </c>
      <c r="B1" s="159"/>
      <c r="C1" s="159"/>
    </row>
    <row r="2" spans="1:3" ht="15" customHeight="1" x14ac:dyDescent="0.2">
      <c r="A2" s="109"/>
      <c r="B2" s="110"/>
      <c r="C2" s="111"/>
    </row>
    <row r="3" spans="1:3" ht="15" customHeight="1" x14ac:dyDescent="0.2">
      <c r="A3" s="112"/>
      <c r="B3" s="113" t="s">
        <v>127</v>
      </c>
      <c r="C3" s="113" t="s">
        <v>128</v>
      </c>
    </row>
    <row r="4" spans="1:3" ht="15" customHeight="1" x14ac:dyDescent="0.2">
      <c r="A4" s="114"/>
      <c r="B4" s="124" t="s">
        <v>95</v>
      </c>
      <c r="C4" s="115" t="s">
        <v>130</v>
      </c>
    </row>
    <row r="5" spans="1:3" ht="15" customHeight="1" x14ac:dyDescent="0.2">
      <c r="A5" s="116" t="s">
        <v>129</v>
      </c>
      <c r="B5" s="125" t="s">
        <v>88</v>
      </c>
      <c r="C5" s="117" t="s">
        <v>131</v>
      </c>
    </row>
    <row r="6" spans="1:3" ht="15" customHeight="1" x14ac:dyDescent="0.2">
      <c r="A6" s="114" t="s">
        <v>129</v>
      </c>
      <c r="B6" s="124" t="s">
        <v>89</v>
      </c>
      <c r="C6" s="115" t="s">
        <v>133</v>
      </c>
    </row>
    <row r="7" spans="1:3" ht="15" customHeight="1" x14ac:dyDescent="0.2">
      <c r="A7" s="116" t="s">
        <v>129</v>
      </c>
      <c r="B7" s="126" t="s">
        <v>90</v>
      </c>
      <c r="C7" s="117" t="s">
        <v>134</v>
      </c>
    </row>
    <row r="8" spans="1:3" ht="15" customHeight="1" x14ac:dyDescent="0.2">
      <c r="A8" s="114" t="s">
        <v>132</v>
      </c>
      <c r="B8" s="127" t="s">
        <v>91</v>
      </c>
      <c r="C8" s="115" t="s">
        <v>135</v>
      </c>
    </row>
    <row r="9" spans="1:3" ht="15" customHeight="1" x14ac:dyDescent="0.2">
      <c r="A9" s="116" t="s">
        <v>132</v>
      </c>
      <c r="B9" s="126" t="s">
        <v>92</v>
      </c>
      <c r="C9" s="117" t="s">
        <v>136</v>
      </c>
    </row>
    <row r="10" spans="1:3" ht="15" customHeight="1" x14ac:dyDescent="0.2">
      <c r="A10" s="114" t="s">
        <v>132</v>
      </c>
      <c r="B10" s="127" t="s">
        <v>93</v>
      </c>
      <c r="C10" s="115" t="s">
        <v>137</v>
      </c>
    </row>
    <row r="11" spans="1:3" ht="15" customHeight="1" x14ac:dyDescent="0.2">
      <c r="A11" s="116" t="s">
        <v>132</v>
      </c>
      <c r="B11" s="125" t="s">
        <v>94</v>
      </c>
      <c r="C11" s="117" t="s">
        <v>138</v>
      </c>
    </row>
  </sheetData>
  <mergeCells count="1">
    <mergeCell ref="A1:C1"/>
  </mergeCells>
  <hyperlinks>
    <hyperlink ref="C4" location="Meta!A1" display="Meta"/>
    <hyperlink ref="C5" location="'T1'!A1" display="T1"/>
    <hyperlink ref="C6" location="'T2'!A1" display="T2"/>
    <hyperlink ref="C7" location="'T3'!A1" display="T3"/>
    <hyperlink ref="C8" location="'G1'!A1" display="G1"/>
    <hyperlink ref="C9" location="'G2'!A1" display="G2"/>
    <hyperlink ref="C10" location="'G3'!A1" display="G3"/>
    <hyperlink ref="C11" location="'G4'!A1" display="G4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1"/>
  <sheetViews>
    <sheetView zoomScaleNormal="100" workbookViewId="0">
      <selection activeCell="A2" sqref="A2"/>
    </sheetView>
  </sheetViews>
  <sheetFormatPr defaultRowHeight="12" x14ac:dyDescent="0.2"/>
  <cols>
    <col min="1" max="1" width="12.125" style="41" customWidth="1"/>
    <col min="2" max="2" width="10.5" style="41" customWidth="1"/>
    <col min="3" max="3" width="61.5" style="41" customWidth="1"/>
    <col min="4" max="22" width="9" style="2"/>
    <col min="23" max="23" width="8" style="2" customWidth="1"/>
    <col min="24" max="16384" width="9" style="2"/>
  </cols>
  <sheetData>
    <row r="1" spans="1:23" ht="13.5" customHeight="1" x14ac:dyDescent="0.2">
      <c r="A1" s="163" t="s">
        <v>148</v>
      </c>
      <c r="B1" s="164"/>
      <c r="C1" s="164"/>
      <c r="E1" s="37"/>
      <c r="F1" s="108" t="s">
        <v>153</v>
      </c>
      <c r="W1" s="38"/>
    </row>
    <row r="2" spans="1:23" s="3" customFormat="1" ht="13.5" customHeight="1" x14ac:dyDescent="0.2">
      <c r="A2" s="53"/>
      <c r="B2" s="54"/>
      <c r="C2" s="54"/>
      <c r="E2" s="55"/>
      <c r="W2" s="56"/>
    </row>
    <row r="3" spans="1:23" ht="21.75" customHeight="1" x14ac:dyDescent="0.2">
      <c r="A3" s="165" t="s">
        <v>95</v>
      </c>
      <c r="B3" s="165"/>
      <c r="C3" s="165"/>
      <c r="E3" s="37"/>
      <c r="W3" s="38"/>
    </row>
    <row r="4" spans="1:23" ht="30.75" customHeight="1" x14ac:dyDescent="0.2">
      <c r="A4" s="166" t="s">
        <v>154</v>
      </c>
      <c r="B4" s="166"/>
      <c r="C4" s="166"/>
      <c r="D4" s="62"/>
      <c r="W4" s="38"/>
    </row>
    <row r="5" spans="1:23" ht="45" customHeight="1" x14ac:dyDescent="0.2">
      <c r="A5" s="167" t="s">
        <v>147</v>
      </c>
      <c r="B5" s="166"/>
      <c r="C5" s="166"/>
      <c r="E5" s="37"/>
      <c r="W5" s="38"/>
    </row>
    <row r="6" spans="1:23" ht="103.5" customHeight="1" x14ac:dyDescent="0.2">
      <c r="A6" s="166" t="s">
        <v>155</v>
      </c>
      <c r="B6" s="166"/>
      <c r="C6" s="166"/>
      <c r="E6" s="37"/>
      <c r="W6" s="38"/>
    </row>
    <row r="7" spans="1:23" ht="14.25" customHeight="1" x14ac:dyDescent="0.2">
      <c r="A7" s="40"/>
      <c r="B7" s="40"/>
      <c r="C7" s="40"/>
    </row>
    <row r="8" spans="1:23" ht="33" customHeight="1" x14ac:dyDescent="0.2">
      <c r="A8" s="160" t="s">
        <v>121</v>
      </c>
      <c r="B8" s="160"/>
      <c r="C8" s="160"/>
    </row>
    <row r="9" spans="1:23" ht="40.5" customHeight="1" x14ac:dyDescent="0.2">
      <c r="A9" s="160" t="s">
        <v>123</v>
      </c>
      <c r="B9" s="160"/>
      <c r="C9" s="160"/>
    </row>
    <row r="10" spans="1:23" ht="32.25" customHeight="1" x14ac:dyDescent="0.2">
      <c r="A10" s="160" t="s">
        <v>122</v>
      </c>
      <c r="B10" s="160"/>
      <c r="C10" s="160"/>
    </row>
    <row r="11" spans="1:23" s="3" customFormat="1" ht="13.5" customHeight="1" x14ac:dyDescent="0.2">
      <c r="A11" s="57"/>
      <c r="B11" s="57"/>
      <c r="C11" s="57"/>
    </row>
    <row r="12" spans="1:23" s="3" customFormat="1" ht="13.5" customHeight="1" x14ac:dyDescent="0.2">
      <c r="A12" s="167" t="s">
        <v>139</v>
      </c>
      <c r="B12" s="167"/>
      <c r="C12" s="167"/>
    </row>
    <row r="13" spans="1:23" s="3" customFormat="1" ht="13.5" customHeight="1" x14ac:dyDescent="0.2">
      <c r="A13" s="43" t="s">
        <v>142</v>
      </c>
      <c r="B13" s="61" t="s">
        <v>141</v>
      </c>
      <c r="C13" s="42"/>
    </row>
    <row r="14" spans="1:23" s="3" customFormat="1" ht="13.5" customHeight="1" x14ac:dyDescent="0.2">
      <c r="A14" s="59" t="s">
        <v>120</v>
      </c>
      <c r="B14" s="60" t="s">
        <v>140</v>
      </c>
      <c r="C14" s="59"/>
    </row>
    <row r="15" spans="1:23" s="3" customFormat="1" ht="13.5" customHeight="1" x14ac:dyDescent="0.2">
      <c r="A15" s="59" t="s">
        <v>145</v>
      </c>
      <c r="B15" s="60" t="s">
        <v>146</v>
      </c>
      <c r="C15" s="59"/>
    </row>
    <row r="16" spans="1:23" s="3" customFormat="1" ht="13.5" customHeight="1" x14ac:dyDescent="0.2">
      <c r="A16" s="59" t="s">
        <v>143</v>
      </c>
      <c r="B16" s="60" t="s">
        <v>144</v>
      </c>
      <c r="C16" s="59"/>
    </row>
    <row r="17" spans="1:3" s="3" customFormat="1" ht="12.75" customHeight="1" x14ac:dyDescent="0.2">
      <c r="A17" s="58"/>
    </row>
    <row r="18" spans="1:3" ht="13.5" customHeight="1" x14ac:dyDescent="0.2">
      <c r="A18" s="104" t="s">
        <v>96</v>
      </c>
      <c r="B18" s="105"/>
      <c r="C18" s="105"/>
    </row>
    <row r="19" spans="1:3" ht="13.5" customHeight="1" x14ac:dyDescent="0.2">
      <c r="A19" s="106" t="s">
        <v>97</v>
      </c>
      <c r="B19" s="106" t="s">
        <v>98</v>
      </c>
      <c r="C19" s="106" t="s">
        <v>99</v>
      </c>
    </row>
    <row r="20" spans="1:3" ht="13.5" customHeight="1" x14ac:dyDescent="0.2">
      <c r="A20" s="106" t="s">
        <v>100</v>
      </c>
      <c r="B20" s="106" t="s">
        <v>101</v>
      </c>
      <c r="C20" s="106" t="s">
        <v>102</v>
      </c>
    </row>
    <row r="21" spans="1:3" ht="13.5" customHeight="1" x14ac:dyDescent="0.2">
      <c r="A21" s="106" t="s">
        <v>103</v>
      </c>
      <c r="B21" s="106" t="s">
        <v>104</v>
      </c>
      <c r="C21" s="106" t="s">
        <v>105</v>
      </c>
    </row>
    <row r="22" spans="1:3" ht="13.5" customHeight="1" x14ac:dyDescent="0.2">
      <c r="A22" s="106" t="s">
        <v>106</v>
      </c>
      <c r="B22" s="106" t="s">
        <v>107</v>
      </c>
      <c r="C22" s="106" t="s">
        <v>108</v>
      </c>
    </row>
    <row r="23" spans="1:3" ht="13.5" customHeight="1" x14ac:dyDescent="0.2">
      <c r="A23" s="106" t="s">
        <v>109</v>
      </c>
      <c r="B23" s="106" t="s">
        <v>110</v>
      </c>
      <c r="C23" s="106" t="s">
        <v>111</v>
      </c>
    </row>
    <row r="24" spans="1:3" ht="13.5" customHeight="1" x14ac:dyDescent="0.2">
      <c r="A24" s="107" t="s">
        <v>112</v>
      </c>
      <c r="B24" s="106" t="s">
        <v>113</v>
      </c>
      <c r="C24" s="106" t="s">
        <v>114</v>
      </c>
    </row>
    <row r="25" spans="1:3" ht="13.5" customHeight="1" x14ac:dyDescent="0.2">
      <c r="A25" s="106" t="s">
        <v>115</v>
      </c>
      <c r="B25" s="106"/>
      <c r="C25" s="106" t="s">
        <v>116</v>
      </c>
    </row>
    <row r="26" spans="1:3" ht="13.5" customHeight="1" x14ac:dyDescent="0.2">
      <c r="A26" s="106" t="s">
        <v>117</v>
      </c>
      <c r="B26" s="106"/>
      <c r="C26" s="106" t="s">
        <v>118</v>
      </c>
    </row>
    <row r="27" spans="1:3" ht="13.5" customHeight="1" x14ac:dyDescent="0.2">
      <c r="A27" s="44"/>
      <c r="B27" s="39"/>
      <c r="C27" s="39"/>
    </row>
    <row r="28" spans="1:3" ht="13.5" customHeight="1" x14ac:dyDescent="0.2">
      <c r="A28" s="161" t="s">
        <v>119</v>
      </c>
      <c r="B28" s="161"/>
      <c r="C28" s="161"/>
    </row>
    <row r="29" spans="1:3" ht="12" customHeight="1" x14ac:dyDescent="0.2">
      <c r="A29" s="162" t="s">
        <v>156</v>
      </c>
      <c r="B29" s="162"/>
      <c r="C29" s="162"/>
    </row>
    <row r="30" spans="1:3" ht="12" customHeight="1" x14ac:dyDescent="0.2"/>
    <row r="31" spans="1:3" ht="12" customHeight="1" x14ac:dyDescent="0.2"/>
  </sheetData>
  <mergeCells count="11">
    <mergeCell ref="A8:C8"/>
    <mergeCell ref="A10:C10"/>
    <mergeCell ref="A28:C28"/>
    <mergeCell ref="A29:C29"/>
    <mergeCell ref="A1:C1"/>
    <mergeCell ref="A9:C9"/>
    <mergeCell ref="A3:C3"/>
    <mergeCell ref="A4:C4"/>
    <mergeCell ref="A5:C5"/>
    <mergeCell ref="A6:C6"/>
    <mergeCell ref="A12:C12"/>
  </mergeCells>
  <hyperlinks>
    <hyperlink ref="F1" location="Obsah!A1" display="Naspäť na obsah"/>
  </hyperlinks>
  <pageMargins left="0.7" right="0.7" top="0.75" bottom="0.75" header="0.3" footer="0.3"/>
  <pageSetup paperSize="9" scale="77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"/>
  <sheetViews>
    <sheetView zoomScaleNormal="100" workbookViewId="0">
      <selection activeCell="A3" sqref="A3"/>
    </sheetView>
  </sheetViews>
  <sheetFormatPr defaultRowHeight="13.5" customHeight="1" x14ac:dyDescent="0.2"/>
  <cols>
    <col min="1" max="1" width="27.125" style="2" customWidth="1"/>
    <col min="2" max="2" width="13.75" style="2" customWidth="1"/>
    <col min="3" max="15" width="12.625" style="2" customWidth="1"/>
    <col min="16" max="16" width="15.875" style="2" customWidth="1"/>
    <col min="17" max="27" width="14" style="2" customWidth="1"/>
    <col min="28" max="16384" width="9" style="2"/>
  </cols>
  <sheetData>
    <row r="1" spans="1:15" ht="13.5" customHeight="1" x14ac:dyDescent="0.2">
      <c r="A1" s="16" t="s">
        <v>148</v>
      </c>
      <c r="H1" s="149" t="s">
        <v>153</v>
      </c>
    </row>
    <row r="2" spans="1:15" ht="13.5" customHeight="1" x14ac:dyDescent="0.2">
      <c r="A2" s="1" t="s">
        <v>88</v>
      </c>
    </row>
    <row r="4" spans="1:15" ht="13.5" customHeight="1" x14ac:dyDescent="0.2">
      <c r="A4" s="168" t="s">
        <v>29</v>
      </c>
      <c r="B4" s="168" t="s">
        <v>23</v>
      </c>
      <c r="C4" s="169" t="s">
        <v>36</v>
      </c>
      <c r="D4" s="170"/>
      <c r="E4" s="170"/>
      <c r="F4" s="170"/>
      <c r="G4" s="170"/>
      <c r="H4" s="170"/>
      <c r="I4" s="170"/>
      <c r="J4" s="170"/>
      <c r="K4" s="170"/>
      <c r="L4" s="170"/>
      <c r="M4" s="170"/>
      <c r="N4" s="170"/>
      <c r="O4" s="171"/>
    </row>
    <row r="5" spans="1:15" ht="38.25" customHeight="1" x14ac:dyDescent="0.2">
      <c r="A5" s="168"/>
      <c r="B5" s="168"/>
      <c r="C5" s="90" t="s">
        <v>0</v>
      </c>
      <c r="D5" s="90" t="s">
        <v>1</v>
      </c>
      <c r="E5" s="90" t="s">
        <v>2</v>
      </c>
      <c r="F5" s="90" t="s">
        <v>3</v>
      </c>
      <c r="G5" s="90" t="s">
        <v>149</v>
      </c>
      <c r="H5" s="90" t="s">
        <v>4</v>
      </c>
      <c r="I5" s="90" t="s">
        <v>5</v>
      </c>
      <c r="J5" s="90" t="s">
        <v>6</v>
      </c>
      <c r="K5" s="90" t="s">
        <v>7</v>
      </c>
      <c r="L5" s="90" t="s">
        <v>8</v>
      </c>
      <c r="M5" s="90" t="s">
        <v>9</v>
      </c>
      <c r="N5" s="90" t="s">
        <v>57</v>
      </c>
      <c r="O5" s="91" t="s">
        <v>10</v>
      </c>
    </row>
    <row r="6" spans="1:15" ht="13.5" customHeight="1" x14ac:dyDescent="0.2">
      <c r="A6" s="128" t="s">
        <v>11</v>
      </c>
      <c r="B6" s="151">
        <v>9653</v>
      </c>
      <c r="C6" s="151">
        <v>21</v>
      </c>
      <c r="D6" s="151">
        <v>5</v>
      </c>
      <c r="E6" s="151">
        <v>38</v>
      </c>
      <c r="F6" s="151">
        <v>5</v>
      </c>
      <c r="G6" s="151">
        <v>4</v>
      </c>
      <c r="H6" s="151">
        <v>6</v>
      </c>
      <c r="I6" s="151">
        <v>11</v>
      </c>
      <c r="J6" s="151">
        <v>2266</v>
      </c>
      <c r="K6" s="151">
        <v>7137</v>
      </c>
      <c r="L6" s="151">
        <v>47</v>
      </c>
      <c r="M6" s="151">
        <v>77</v>
      </c>
      <c r="N6" s="151">
        <v>12</v>
      </c>
      <c r="O6" s="151">
        <v>8</v>
      </c>
    </row>
    <row r="7" spans="1:15" ht="13.5" customHeight="1" x14ac:dyDescent="0.2">
      <c r="A7" s="130" t="s">
        <v>12</v>
      </c>
      <c r="B7" s="152">
        <v>5742905111.9500055</v>
      </c>
      <c r="C7" s="152">
        <v>138399998.66999999</v>
      </c>
      <c r="D7" s="152">
        <v>260978863.46000001</v>
      </c>
      <c r="E7" s="152">
        <v>1478761322.8800001</v>
      </c>
      <c r="F7" s="152">
        <v>78914412.430000007</v>
      </c>
      <c r="G7" s="152">
        <v>11047979.039999999</v>
      </c>
      <c r="H7" s="152">
        <v>31022188.270000003</v>
      </c>
      <c r="I7" s="152">
        <v>168705384.69999999</v>
      </c>
      <c r="J7" s="152">
        <v>221431589.12</v>
      </c>
      <c r="K7" s="152">
        <v>2584790664.609992</v>
      </c>
      <c r="L7" s="152">
        <v>43172344.850000001</v>
      </c>
      <c r="M7" s="152">
        <v>685346465.44999981</v>
      </c>
      <c r="N7" s="152">
        <v>1817571.62</v>
      </c>
      <c r="O7" s="152">
        <v>3218736.82</v>
      </c>
    </row>
    <row r="8" spans="1:15" ht="13.5" customHeight="1" x14ac:dyDescent="0.2">
      <c r="A8" s="132" t="s">
        <v>13</v>
      </c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4"/>
      <c r="O8" s="154"/>
    </row>
    <row r="9" spans="1:15" ht="13.5" customHeight="1" x14ac:dyDescent="0.2">
      <c r="A9" s="64" t="s">
        <v>15</v>
      </c>
      <c r="B9" s="153">
        <v>1629622443.3499951</v>
      </c>
      <c r="C9" s="153">
        <v>66357318.100000009</v>
      </c>
      <c r="D9" s="153">
        <v>75802750.900000006</v>
      </c>
      <c r="E9" s="153">
        <v>569414551.99999988</v>
      </c>
      <c r="F9" s="153">
        <v>28837638.34</v>
      </c>
      <c r="G9" s="153">
        <v>4550522.82</v>
      </c>
      <c r="H9" s="153">
        <v>14073637.440000001</v>
      </c>
      <c r="I9" s="153">
        <v>76895715.799999997</v>
      </c>
      <c r="J9" s="154">
        <v>29167301.559999995</v>
      </c>
      <c r="K9" s="153">
        <v>478451612.4199993</v>
      </c>
      <c r="L9" s="154">
        <v>20012509.420000002</v>
      </c>
      <c r="M9" s="153">
        <v>248064045.54999998</v>
      </c>
      <c r="N9" s="153">
        <v>885847.17999999993</v>
      </c>
      <c r="O9" s="153">
        <v>1710962.79</v>
      </c>
    </row>
    <row r="10" spans="1:15" ht="13.5" customHeight="1" x14ac:dyDescent="0.2">
      <c r="A10" s="64" t="s">
        <v>16</v>
      </c>
      <c r="B10" s="153">
        <v>578754059.7400012</v>
      </c>
      <c r="C10" s="153">
        <v>22799116.579999998</v>
      </c>
      <c r="D10" s="153">
        <v>26750737.329999998</v>
      </c>
      <c r="E10" s="153">
        <v>199425113.15999997</v>
      </c>
      <c r="F10" s="153">
        <v>9924498.4700000007</v>
      </c>
      <c r="G10" s="153">
        <v>1562284.68</v>
      </c>
      <c r="H10" s="153">
        <v>4909379.76</v>
      </c>
      <c r="I10" s="153">
        <v>26292386.910000004</v>
      </c>
      <c r="J10" s="154">
        <v>22881551.950000007</v>
      </c>
      <c r="K10" s="153">
        <v>164975357.89000008</v>
      </c>
      <c r="L10" s="154">
        <v>6893820.0700000003</v>
      </c>
      <c r="M10" s="153">
        <v>86080253.799999997</v>
      </c>
      <c r="N10" s="153">
        <v>323074.48</v>
      </c>
      <c r="O10" s="153">
        <v>566197.1</v>
      </c>
    </row>
    <row r="11" spans="1:15" ht="13.5" customHeight="1" x14ac:dyDescent="0.2">
      <c r="A11" s="64" t="s">
        <v>17</v>
      </c>
      <c r="B11" s="153">
        <v>1322966798.9399989</v>
      </c>
      <c r="C11" s="153">
        <v>7239905.4500000011</v>
      </c>
      <c r="D11" s="153">
        <v>30312091.609999999</v>
      </c>
      <c r="E11" s="153">
        <v>169344177.31999999</v>
      </c>
      <c r="F11" s="153">
        <v>4932403.21</v>
      </c>
      <c r="G11" s="153">
        <v>1827979.8</v>
      </c>
      <c r="H11" s="153">
        <v>5744087.54</v>
      </c>
      <c r="I11" s="153">
        <v>16122679.710000001</v>
      </c>
      <c r="J11" s="154">
        <v>76832079.140000015</v>
      </c>
      <c r="K11" s="153">
        <v>970171822.91000044</v>
      </c>
      <c r="L11" s="154">
        <v>3140595.72</v>
      </c>
      <c r="M11" s="153">
        <v>35533750.769999996</v>
      </c>
      <c r="N11" s="153">
        <v>50775.17</v>
      </c>
      <c r="O11" s="153">
        <v>43415.49</v>
      </c>
    </row>
    <row r="12" spans="1:15" ht="13.5" customHeight="1" x14ac:dyDescent="0.2">
      <c r="A12" s="64" t="s">
        <v>18</v>
      </c>
      <c r="B12" s="153">
        <v>555946919.00000119</v>
      </c>
      <c r="C12" s="153">
        <v>4909584.09</v>
      </c>
      <c r="D12" s="153">
        <v>89006364.099999994</v>
      </c>
      <c r="E12" s="153">
        <v>158432020.05000004</v>
      </c>
      <c r="F12" s="153">
        <v>12916681.880000001</v>
      </c>
      <c r="G12" s="153">
        <v>980385.08</v>
      </c>
      <c r="H12" s="153">
        <v>386827.47</v>
      </c>
      <c r="I12" s="153">
        <v>10171337.149999999</v>
      </c>
      <c r="J12" s="154">
        <v>20958497.640000004</v>
      </c>
      <c r="K12" s="153">
        <v>197759536.98999986</v>
      </c>
      <c r="L12" s="154">
        <v>3158395.7899999996</v>
      </c>
      <c r="M12" s="153">
        <v>54262995.820000008</v>
      </c>
      <c r="N12" s="153">
        <v>72458.11</v>
      </c>
      <c r="O12" s="153">
        <v>49886.880000000005</v>
      </c>
    </row>
    <row r="13" spans="1:15" ht="13.5" customHeight="1" x14ac:dyDescent="0.2">
      <c r="A13" s="64" t="s">
        <v>28</v>
      </c>
      <c r="B13" s="153">
        <v>34994618.679999985</v>
      </c>
      <c r="C13" s="153">
        <v>1345419.44</v>
      </c>
      <c r="D13" s="153">
        <v>2443145.84</v>
      </c>
      <c r="E13" s="153">
        <v>20427483.810000002</v>
      </c>
      <c r="F13" s="153">
        <v>596468.79</v>
      </c>
      <c r="G13" s="153">
        <v>143111.41</v>
      </c>
      <c r="H13" s="153">
        <v>250067.41999999998</v>
      </c>
      <c r="I13" s="153">
        <v>2982055.43</v>
      </c>
      <c r="J13" s="154">
        <v>13806.44</v>
      </c>
      <c r="K13" s="153">
        <v>2496661.6700000004</v>
      </c>
      <c r="L13" s="154">
        <v>251793.4</v>
      </c>
      <c r="M13" s="153">
        <v>3816307.24</v>
      </c>
      <c r="N13" s="153" t="s">
        <v>56</v>
      </c>
      <c r="O13" s="153" t="s">
        <v>56</v>
      </c>
    </row>
    <row r="14" spans="1:15" ht="13.5" customHeight="1" x14ac:dyDescent="0.2">
      <c r="A14" s="64" t="s">
        <v>19</v>
      </c>
      <c r="B14" s="153">
        <v>210969610.75999963</v>
      </c>
      <c r="C14" s="153">
        <v>5426773.9799999995</v>
      </c>
      <c r="D14" s="153">
        <v>9332018.3900000006</v>
      </c>
      <c r="E14" s="153">
        <v>62107295.640000001</v>
      </c>
      <c r="F14" s="153">
        <v>5295359.34</v>
      </c>
      <c r="G14" s="153">
        <v>204326.82</v>
      </c>
      <c r="H14" s="153">
        <v>828548.61</v>
      </c>
      <c r="I14" s="153">
        <v>6120926.7400000002</v>
      </c>
      <c r="J14" s="154">
        <v>8334053.0500000007</v>
      </c>
      <c r="K14" s="153">
        <v>90712185.009999961</v>
      </c>
      <c r="L14" s="154">
        <v>954091.09000000008</v>
      </c>
      <c r="M14" s="153">
        <v>20344564.900000002</v>
      </c>
      <c r="N14" s="153">
        <v>60654.479999999996</v>
      </c>
      <c r="O14" s="153">
        <v>162215.93</v>
      </c>
    </row>
    <row r="15" spans="1:15" ht="13.5" customHeight="1" x14ac:dyDescent="0.2">
      <c r="A15" s="64" t="s">
        <v>20</v>
      </c>
      <c r="B15" s="153">
        <v>89430063.080000356</v>
      </c>
      <c r="C15" s="153">
        <v>4129942.5300000007</v>
      </c>
      <c r="D15" s="153">
        <v>3070316.46</v>
      </c>
      <c r="E15" s="153">
        <v>28770669.609999999</v>
      </c>
      <c r="F15" s="153">
        <v>1739521.83</v>
      </c>
      <c r="G15" s="153">
        <v>224445.69</v>
      </c>
      <c r="H15" s="153">
        <v>648571.52</v>
      </c>
      <c r="I15" s="153">
        <v>4533456.9799999995</v>
      </c>
      <c r="J15" s="154">
        <v>3280470.8400000012</v>
      </c>
      <c r="K15" s="153">
        <v>22690988.639999986</v>
      </c>
      <c r="L15" s="154">
        <v>786067.55</v>
      </c>
      <c r="M15" s="153">
        <v>17765501.869999994</v>
      </c>
      <c r="N15" s="153">
        <v>59520.46</v>
      </c>
      <c r="O15" s="153">
        <v>46028.490000000005</v>
      </c>
    </row>
    <row r="16" spans="1:15" ht="13.5" customHeight="1" x14ac:dyDescent="0.2">
      <c r="A16" s="64" t="s">
        <v>31</v>
      </c>
      <c r="B16" s="153">
        <v>85437224.360000074</v>
      </c>
      <c r="C16" s="153">
        <v>2507224.52</v>
      </c>
      <c r="D16" s="153">
        <v>3808279.2699999996</v>
      </c>
      <c r="E16" s="153">
        <v>23915659.199999996</v>
      </c>
      <c r="F16" s="153">
        <v>3291575.6500000004</v>
      </c>
      <c r="G16" s="153">
        <v>134712.66</v>
      </c>
      <c r="H16" s="153">
        <v>540541.29</v>
      </c>
      <c r="I16" s="153">
        <v>2606232.4699999997</v>
      </c>
      <c r="J16" s="154">
        <v>3625601.0399999996</v>
      </c>
      <c r="K16" s="153">
        <v>33061772.909999963</v>
      </c>
      <c r="L16" s="154">
        <v>583589.90999999992</v>
      </c>
      <c r="M16" s="153">
        <v>10518618.09</v>
      </c>
      <c r="N16" s="153">
        <v>16974.48</v>
      </c>
      <c r="O16" s="153">
        <v>47611.570000000007</v>
      </c>
    </row>
    <row r="17" spans="1:15" ht="13.5" customHeight="1" x14ac:dyDescent="0.2">
      <c r="A17" s="130" t="s">
        <v>14</v>
      </c>
      <c r="B17" s="155">
        <v>6191215906.3499775</v>
      </c>
      <c r="C17" s="155">
        <v>154865714.34999999</v>
      </c>
      <c r="D17" s="155">
        <v>263137657.86000001</v>
      </c>
      <c r="E17" s="155">
        <v>1567850329.7499993</v>
      </c>
      <c r="F17" s="155">
        <v>87117919.890000001</v>
      </c>
      <c r="G17" s="155">
        <v>10064338.859999999</v>
      </c>
      <c r="H17" s="155">
        <v>31888991.410000004</v>
      </c>
      <c r="I17" s="155">
        <v>202831984.69999999</v>
      </c>
      <c r="J17" s="152">
        <v>269289109.83999991</v>
      </c>
      <c r="K17" s="155">
        <v>2793113348.7300005</v>
      </c>
      <c r="L17" s="152">
        <v>43302971.539999999</v>
      </c>
      <c r="M17" s="155">
        <v>727186094.88999987</v>
      </c>
      <c r="N17" s="155">
        <v>1857197.2799999998</v>
      </c>
      <c r="O17" s="155">
        <v>3909022.3600000003</v>
      </c>
    </row>
    <row r="18" spans="1:15" ht="13.5" customHeight="1" x14ac:dyDescent="0.2">
      <c r="A18" s="64" t="s">
        <v>34</v>
      </c>
      <c r="B18" s="153">
        <v>4249801942.9900002</v>
      </c>
      <c r="C18" s="153">
        <v>127372370.05000001</v>
      </c>
      <c r="D18" s="153">
        <v>246996856.72999999</v>
      </c>
      <c r="E18" s="153">
        <v>1099964624.3300002</v>
      </c>
      <c r="F18" s="153">
        <v>53227602.609999999</v>
      </c>
      <c r="G18" s="153">
        <v>9096696.8300000001</v>
      </c>
      <c r="H18" s="153">
        <v>26483663.210000001</v>
      </c>
      <c r="I18" s="153">
        <v>135985807.49000001</v>
      </c>
      <c r="J18" s="154">
        <v>175731659.46999994</v>
      </c>
      <c r="K18" s="153">
        <v>1802505376.4899983</v>
      </c>
      <c r="L18" s="154">
        <v>35384132.869999997</v>
      </c>
      <c r="M18" s="153">
        <v>507717416.10000014</v>
      </c>
      <c r="N18" s="153">
        <v>1204478.5699999998</v>
      </c>
      <c r="O18" s="153">
        <v>3390384.78</v>
      </c>
    </row>
    <row r="19" spans="1:15" ht="13.5" customHeight="1" x14ac:dyDescent="0.2">
      <c r="A19" s="64" t="s">
        <v>21</v>
      </c>
      <c r="B19" s="153">
        <v>1076799030.0699997</v>
      </c>
      <c r="C19" s="153">
        <v>4350961.24</v>
      </c>
      <c r="D19" s="153">
        <v>12685800.689999999</v>
      </c>
      <c r="E19" s="153">
        <v>22403159.199999999</v>
      </c>
      <c r="F19" s="153">
        <v>3781624.3400000003</v>
      </c>
      <c r="G19" s="153">
        <v>809208.4</v>
      </c>
      <c r="H19" s="153">
        <v>1751003.1500000001</v>
      </c>
      <c r="I19" s="153">
        <v>4009694.0100000007</v>
      </c>
      <c r="J19" s="154">
        <v>86714526.090000004</v>
      </c>
      <c r="K19" s="153">
        <v>818061665.3799994</v>
      </c>
      <c r="L19" s="154">
        <v>2670643.33</v>
      </c>
      <c r="M19" s="153">
        <v>111964029.73999999</v>
      </c>
      <c r="N19" s="153">
        <v>73651</v>
      </c>
      <c r="O19" s="153">
        <v>99620.42</v>
      </c>
    </row>
    <row r="20" spans="1:15" ht="13.5" customHeight="1" x14ac:dyDescent="0.2">
      <c r="A20" s="134" t="s">
        <v>22</v>
      </c>
      <c r="B20" s="153">
        <v>454290340.9000001</v>
      </c>
      <c r="C20" s="153">
        <v>83326.070000000007</v>
      </c>
      <c r="D20" s="153">
        <v>10300219.350000001</v>
      </c>
      <c r="E20" s="153">
        <v>3703023.98</v>
      </c>
      <c r="F20" s="153">
        <v>305.93</v>
      </c>
      <c r="G20" s="153">
        <v>569332</v>
      </c>
      <c r="H20" s="153">
        <v>1078887.08</v>
      </c>
      <c r="I20" s="153">
        <v>1497913.8299999998</v>
      </c>
      <c r="J20" s="154">
        <v>30936441.809999991</v>
      </c>
      <c r="K20" s="153">
        <v>399051696.19000012</v>
      </c>
      <c r="L20" s="154">
        <v>468716.9</v>
      </c>
      <c r="M20" s="153">
        <v>6562541.2199999997</v>
      </c>
      <c r="N20" s="153" t="s">
        <v>56</v>
      </c>
      <c r="O20" s="153" t="s">
        <v>56</v>
      </c>
    </row>
    <row r="21" spans="1:15" ht="13.5" customHeight="1" x14ac:dyDescent="0.2">
      <c r="A21" s="135" t="s">
        <v>35</v>
      </c>
      <c r="B21" s="153">
        <v>68078337.319999993</v>
      </c>
      <c r="C21" s="153">
        <v>357670.89</v>
      </c>
      <c r="D21" s="153">
        <v>6543.36</v>
      </c>
      <c r="E21" s="153">
        <v>58046116.75</v>
      </c>
      <c r="F21" s="153">
        <v>8644382.2400000002</v>
      </c>
      <c r="G21" s="153" t="s">
        <v>56</v>
      </c>
      <c r="H21" s="153">
        <v>16805.580000000002</v>
      </c>
      <c r="I21" s="153">
        <v>108211.62</v>
      </c>
      <c r="J21" s="154">
        <v>62415.75</v>
      </c>
      <c r="K21" s="153">
        <v>163346.96000000002</v>
      </c>
      <c r="L21" s="154">
        <v>274060.16000000003</v>
      </c>
      <c r="M21" s="153">
        <v>222702.26</v>
      </c>
      <c r="N21" s="153">
        <v>95216.75</v>
      </c>
      <c r="O21" s="153" t="s">
        <v>56</v>
      </c>
    </row>
    <row r="22" spans="1:15" ht="13.5" customHeight="1" x14ac:dyDescent="0.2">
      <c r="A22" s="135" t="s">
        <v>33</v>
      </c>
      <c r="B22" s="153">
        <v>796536595.96999836</v>
      </c>
      <c r="C22" s="153">
        <v>22784712.170000006</v>
      </c>
      <c r="D22" s="153">
        <v>3448457.08</v>
      </c>
      <c r="E22" s="153">
        <v>387436429.46999997</v>
      </c>
      <c r="F22" s="153">
        <v>21464310.699999999</v>
      </c>
      <c r="G22" s="153">
        <v>158433.63</v>
      </c>
      <c r="H22" s="153">
        <v>3637519.4699999997</v>
      </c>
      <c r="I22" s="153">
        <v>62728271.580000006</v>
      </c>
      <c r="J22" s="154">
        <v>6780508.5300000003</v>
      </c>
      <c r="K22" s="153">
        <v>172382959.90000015</v>
      </c>
      <c r="L22" s="154">
        <v>4974135.18</v>
      </c>
      <c r="M22" s="153">
        <v>107281946.79000001</v>
      </c>
      <c r="N22" s="153">
        <v>483850.95999999996</v>
      </c>
      <c r="O22" s="153">
        <v>419017.16000000003</v>
      </c>
    </row>
    <row r="23" spans="1:15" ht="13.5" customHeight="1" x14ac:dyDescent="0.2">
      <c r="A23" s="136" t="s">
        <v>27</v>
      </c>
      <c r="B23" s="156">
        <v>448310794.39999986</v>
      </c>
      <c r="C23" s="156">
        <v>16465715.680000002</v>
      </c>
      <c r="D23" s="156">
        <v>2158794.4</v>
      </c>
      <c r="E23" s="156">
        <v>89089006.86999999</v>
      </c>
      <c r="F23" s="156">
        <v>8203507.46</v>
      </c>
      <c r="G23" s="156">
        <v>-983640.17999999993</v>
      </c>
      <c r="H23" s="156">
        <v>866803.1399999999</v>
      </c>
      <c r="I23" s="156">
        <v>34126600</v>
      </c>
      <c r="J23" s="157">
        <v>47857520.720000006</v>
      </c>
      <c r="K23" s="156">
        <v>208322684.11999995</v>
      </c>
      <c r="L23" s="157">
        <v>130626.68999999986</v>
      </c>
      <c r="M23" s="156">
        <v>41839629.439999998</v>
      </c>
      <c r="N23" s="156">
        <v>39625.660000000003</v>
      </c>
      <c r="O23" s="156">
        <v>690285.54</v>
      </c>
    </row>
  </sheetData>
  <mergeCells count="3">
    <mergeCell ref="A4:A5"/>
    <mergeCell ref="B4:B5"/>
    <mergeCell ref="C4:O4"/>
  </mergeCells>
  <hyperlinks>
    <hyperlink ref="H1" location="Obsah!A1" display="Naspäť na obsah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2"/>
  <dimension ref="A1:H38"/>
  <sheetViews>
    <sheetView zoomScaleNormal="100" workbookViewId="0">
      <selection activeCell="A3" sqref="A3"/>
    </sheetView>
  </sheetViews>
  <sheetFormatPr defaultRowHeight="13.5" customHeight="1" x14ac:dyDescent="0.2"/>
  <cols>
    <col min="1" max="1" width="38.875" style="2" customWidth="1"/>
    <col min="2" max="2" width="14" style="2" customWidth="1"/>
    <col min="3" max="6" width="13.625" style="2" customWidth="1"/>
    <col min="7" max="7" width="12" style="2" customWidth="1"/>
    <col min="8" max="9" width="15.875" style="2" customWidth="1"/>
    <col min="10" max="35" width="14" style="2" customWidth="1"/>
    <col min="36" max="16384" width="9" style="2"/>
  </cols>
  <sheetData>
    <row r="1" spans="1:8" ht="13.5" customHeight="1" x14ac:dyDescent="0.2">
      <c r="A1" s="16" t="s">
        <v>148</v>
      </c>
      <c r="F1" s="149" t="s">
        <v>153</v>
      </c>
    </row>
    <row r="2" spans="1:8" ht="12.75" customHeight="1" x14ac:dyDescent="0.2">
      <c r="A2" s="6" t="s">
        <v>89</v>
      </c>
      <c r="B2" s="3"/>
      <c r="H2" s="3"/>
    </row>
    <row r="3" spans="1:8" ht="13.5" customHeight="1" x14ac:dyDescent="0.2">
      <c r="A3" s="7"/>
      <c r="H3" s="3"/>
    </row>
    <row r="4" spans="1:8" ht="18.75" customHeight="1" x14ac:dyDescent="0.2">
      <c r="A4" s="172" t="s">
        <v>29</v>
      </c>
      <c r="B4" s="172" t="s">
        <v>30</v>
      </c>
      <c r="C4" s="174" t="s">
        <v>48</v>
      </c>
      <c r="D4" s="175"/>
      <c r="E4" s="175"/>
      <c r="F4" s="176"/>
      <c r="G4" s="5"/>
    </row>
    <row r="5" spans="1:8" ht="48.75" customHeight="1" x14ac:dyDescent="0.2">
      <c r="A5" s="173"/>
      <c r="B5" s="173"/>
      <c r="C5" s="91" t="s">
        <v>24</v>
      </c>
      <c r="D5" s="91" t="s">
        <v>25</v>
      </c>
      <c r="E5" s="91" t="s">
        <v>26</v>
      </c>
      <c r="F5" s="91" t="s">
        <v>47</v>
      </c>
      <c r="G5" s="5"/>
    </row>
    <row r="6" spans="1:8" ht="13.5" customHeight="1" x14ac:dyDescent="0.2">
      <c r="A6" s="128" t="s">
        <v>11</v>
      </c>
      <c r="B6" s="137">
        <v>153</v>
      </c>
      <c r="C6" s="137">
        <v>84</v>
      </c>
      <c r="D6" s="137">
        <v>16</v>
      </c>
      <c r="E6" s="137">
        <v>14</v>
      </c>
      <c r="F6" s="137">
        <v>39</v>
      </c>
      <c r="G6" s="5"/>
    </row>
    <row r="7" spans="1:8" ht="13.5" customHeight="1" x14ac:dyDescent="0.2">
      <c r="A7" s="130" t="s">
        <v>12</v>
      </c>
      <c r="B7" s="131">
        <v>2798651920.8000002</v>
      </c>
      <c r="C7" s="131">
        <v>1328814195.3</v>
      </c>
      <c r="D7" s="131">
        <v>1288333368.5200002</v>
      </c>
      <c r="E7" s="131">
        <v>23056965.580000002</v>
      </c>
      <c r="F7" s="131">
        <v>158447391.40000001</v>
      </c>
      <c r="G7" s="15"/>
    </row>
    <row r="8" spans="1:8" ht="13.5" customHeight="1" x14ac:dyDescent="0.2">
      <c r="A8" s="132" t="s">
        <v>13</v>
      </c>
      <c r="B8" s="131"/>
      <c r="C8" s="131"/>
      <c r="D8" s="131"/>
      <c r="E8" s="131"/>
      <c r="F8" s="131"/>
      <c r="G8" s="15"/>
    </row>
    <row r="9" spans="1:8" ht="13.5" customHeight="1" x14ac:dyDescent="0.2">
      <c r="A9" s="64" t="s">
        <v>15</v>
      </c>
      <c r="B9" s="63">
        <v>1077795297.1900001</v>
      </c>
      <c r="C9" s="63">
        <v>527281653.10000002</v>
      </c>
      <c r="D9" s="63">
        <v>492682878.23999995</v>
      </c>
      <c r="E9" s="63">
        <v>12123647.330000002</v>
      </c>
      <c r="F9" s="63">
        <v>45707118.520000003</v>
      </c>
      <c r="G9" s="15"/>
    </row>
    <row r="10" spans="1:8" ht="13.5" customHeight="1" x14ac:dyDescent="0.2">
      <c r="A10" s="64" t="s">
        <v>16</v>
      </c>
      <c r="B10" s="63">
        <v>374835001.01999998</v>
      </c>
      <c r="C10" s="63">
        <v>182718692.00999996</v>
      </c>
      <c r="D10" s="63">
        <v>171748607.55000001</v>
      </c>
      <c r="E10" s="63">
        <v>4180499.23</v>
      </c>
      <c r="F10" s="63">
        <v>16187202.229999999</v>
      </c>
      <c r="G10" s="15"/>
    </row>
    <row r="11" spans="1:8" ht="13.5" customHeight="1" x14ac:dyDescent="0.2">
      <c r="A11" s="64" t="s">
        <v>17</v>
      </c>
      <c r="B11" s="63">
        <v>274984007.74999994</v>
      </c>
      <c r="C11" s="63">
        <v>126130687.70999996</v>
      </c>
      <c r="D11" s="63">
        <v>146953403.79999998</v>
      </c>
      <c r="E11" s="63">
        <v>726644.80999999994</v>
      </c>
      <c r="F11" s="63">
        <v>1173271.43</v>
      </c>
      <c r="G11" s="15"/>
    </row>
    <row r="12" spans="1:8" ht="13.5" customHeight="1" x14ac:dyDescent="0.2">
      <c r="A12" s="64" t="s">
        <v>18</v>
      </c>
      <c r="B12" s="63">
        <v>333389628.04000002</v>
      </c>
      <c r="C12" s="63">
        <v>172034837.69000006</v>
      </c>
      <c r="D12" s="63">
        <v>160501477.58000001</v>
      </c>
      <c r="E12" s="63">
        <v>184440.18000000002</v>
      </c>
      <c r="F12" s="63">
        <v>668872.59000000008</v>
      </c>
      <c r="G12" s="15"/>
    </row>
    <row r="13" spans="1:8" ht="13.5" customHeight="1" x14ac:dyDescent="0.2">
      <c r="A13" s="64" t="s">
        <v>28</v>
      </c>
      <c r="B13" s="63">
        <v>33595470.049999997</v>
      </c>
      <c r="C13" s="63">
        <v>12803574.809999995</v>
      </c>
      <c r="D13" s="63">
        <v>20790760.039999999</v>
      </c>
      <c r="E13" s="63">
        <v>1135.2</v>
      </c>
      <c r="F13" s="133" t="s">
        <v>56</v>
      </c>
      <c r="G13" s="15"/>
    </row>
    <row r="14" spans="1:8" ht="13.5" customHeight="1" x14ac:dyDescent="0.2">
      <c r="A14" s="64" t="s">
        <v>19</v>
      </c>
      <c r="B14" s="63">
        <v>92284905.640000015</v>
      </c>
      <c r="C14" s="63">
        <v>39181129.800000012</v>
      </c>
      <c r="D14" s="63">
        <v>43036495.770000003</v>
      </c>
      <c r="E14" s="63">
        <v>862784.46</v>
      </c>
      <c r="F14" s="63">
        <v>9204495.6099999994</v>
      </c>
      <c r="G14" s="15"/>
    </row>
    <row r="15" spans="1:8" ht="13.5" customHeight="1" x14ac:dyDescent="0.2">
      <c r="A15" s="64" t="s">
        <v>32</v>
      </c>
      <c r="B15" s="63">
        <v>36761286.590000004</v>
      </c>
      <c r="C15" s="63">
        <v>12367305.440000005</v>
      </c>
      <c r="D15" s="63">
        <v>11426418.52</v>
      </c>
      <c r="E15" s="63">
        <v>1031821.7300000001</v>
      </c>
      <c r="F15" s="63">
        <v>11935740.899999999</v>
      </c>
      <c r="G15" s="15"/>
    </row>
    <row r="16" spans="1:8" ht="13.5" customHeight="1" x14ac:dyDescent="0.2">
      <c r="A16" s="64" t="s">
        <v>20</v>
      </c>
      <c r="B16" s="63">
        <v>63116005.809999995</v>
      </c>
      <c r="C16" s="63">
        <v>28047135.970000003</v>
      </c>
      <c r="D16" s="63">
        <v>25213836.639999997</v>
      </c>
      <c r="E16" s="63">
        <v>699745.63</v>
      </c>
      <c r="F16" s="63">
        <v>9155287.5700000003</v>
      </c>
      <c r="G16" s="15"/>
    </row>
    <row r="17" spans="1:7" ht="13.5" customHeight="1" x14ac:dyDescent="0.2">
      <c r="A17" s="64" t="s">
        <v>31</v>
      </c>
      <c r="B17" s="63">
        <v>45650686.469999999</v>
      </c>
      <c r="C17" s="63">
        <v>19818877.18</v>
      </c>
      <c r="D17" s="63">
        <v>21787377.579999998</v>
      </c>
      <c r="E17" s="63">
        <v>428141.97</v>
      </c>
      <c r="F17" s="63">
        <v>3616289.7399999998</v>
      </c>
      <c r="G17" s="15"/>
    </row>
    <row r="18" spans="1:7" ht="13.5" customHeight="1" x14ac:dyDescent="0.2">
      <c r="A18" s="64" t="s">
        <v>37</v>
      </c>
      <c r="B18" s="63">
        <v>84509746.659999996</v>
      </c>
      <c r="C18" s="63">
        <v>29251924.979999989</v>
      </c>
      <c r="D18" s="63">
        <v>22914673.730000004</v>
      </c>
      <c r="E18" s="63">
        <v>896820.26</v>
      </c>
      <c r="F18" s="63">
        <v>31446327.690000001</v>
      </c>
      <c r="G18" s="15"/>
    </row>
    <row r="19" spans="1:7" ht="13.5" customHeight="1" x14ac:dyDescent="0.2">
      <c r="A19" s="130" t="s">
        <v>14</v>
      </c>
      <c r="B19" s="131">
        <v>2977445906.0100002</v>
      </c>
      <c r="C19" s="131">
        <v>1392055319.8499997</v>
      </c>
      <c r="D19" s="131">
        <v>1392814420.4400001</v>
      </c>
      <c r="E19" s="131">
        <v>23325999</v>
      </c>
      <c r="F19" s="131">
        <v>169250166.72000003</v>
      </c>
      <c r="G19" s="15"/>
    </row>
    <row r="20" spans="1:7" ht="13.5" customHeight="1" x14ac:dyDescent="0.2">
      <c r="A20" s="64" t="s">
        <v>34</v>
      </c>
      <c r="B20" s="63">
        <v>2258746059.8899999</v>
      </c>
      <c r="C20" s="63">
        <v>1179053138.0699999</v>
      </c>
      <c r="D20" s="63">
        <v>993962481.16999996</v>
      </c>
      <c r="E20" s="63">
        <v>20242791.569999997</v>
      </c>
      <c r="F20" s="63">
        <v>65487649.080000006</v>
      </c>
      <c r="G20" s="15"/>
    </row>
    <row r="21" spans="1:7" ht="13.5" customHeight="1" x14ac:dyDescent="0.2">
      <c r="A21" s="64" t="s">
        <v>38</v>
      </c>
      <c r="B21" s="63"/>
      <c r="C21" s="63"/>
      <c r="D21" s="63"/>
      <c r="E21" s="63"/>
      <c r="F21" s="63"/>
      <c r="G21" s="15"/>
    </row>
    <row r="22" spans="1:7" ht="13.5" customHeight="1" x14ac:dyDescent="0.2">
      <c r="A22" s="134" t="s">
        <v>59</v>
      </c>
      <c r="B22" s="63">
        <v>277957839.50999999</v>
      </c>
      <c r="C22" s="63">
        <v>178434575.94000003</v>
      </c>
      <c r="D22" s="63">
        <v>99523263.569999993</v>
      </c>
      <c r="E22" s="133" t="s">
        <v>56</v>
      </c>
      <c r="F22" s="133" t="s">
        <v>56</v>
      </c>
      <c r="G22" s="15"/>
    </row>
    <row r="23" spans="1:7" ht="13.5" customHeight="1" x14ac:dyDescent="0.2">
      <c r="A23" s="134" t="s">
        <v>39</v>
      </c>
      <c r="B23" s="63">
        <v>952247517.82000005</v>
      </c>
      <c r="C23" s="63">
        <v>440278228.96000004</v>
      </c>
      <c r="D23" s="63">
        <v>508467366.54000002</v>
      </c>
      <c r="E23" s="133">
        <v>2381008.8199999998</v>
      </c>
      <c r="F23" s="133">
        <v>1120913.5</v>
      </c>
      <c r="G23" s="15"/>
    </row>
    <row r="24" spans="1:7" ht="13.5" customHeight="1" x14ac:dyDescent="0.2">
      <c r="A24" s="134" t="s">
        <v>40</v>
      </c>
      <c r="B24" s="63">
        <v>151182804.05000001</v>
      </c>
      <c r="C24" s="63">
        <v>64979474.18</v>
      </c>
      <c r="D24" s="63">
        <v>10279161.100000001</v>
      </c>
      <c r="E24" s="63">
        <v>15366978.370000001</v>
      </c>
      <c r="F24" s="63">
        <v>60557190.400000006</v>
      </c>
      <c r="G24" s="15"/>
    </row>
    <row r="25" spans="1:7" ht="13.5" customHeight="1" x14ac:dyDescent="0.2">
      <c r="A25" s="134" t="s">
        <v>41</v>
      </c>
      <c r="B25" s="63">
        <v>224771648.37999997</v>
      </c>
      <c r="C25" s="63">
        <v>102951721.91</v>
      </c>
      <c r="D25" s="63">
        <v>121797019.00999998</v>
      </c>
      <c r="E25" s="63">
        <v>22907.460000000003</v>
      </c>
      <c r="F25" s="133" t="s">
        <v>56</v>
      </c>
      <c r="G25" s="15"/>
    </row>
    <row r="26" spans="1:7" ht="13.5" customHeight="1" x14ac:dyDescent="0.2">
      <c r="A26" s="134" t="s">
        <v>85</v>
      </c>
      <c r="B26" s="63">
        <v>73026507.75999999</v>
      </c>
      <c r="C26" s="63">
        <v>34727679.600000001</v>
      </c>
      <c r="D26" s="63">
        <v>38284879.569999993</v>
      </c>
      <c r="E26" s="63">
        <v>13691.59</v>
      </c>
      <c r="F26" s="63">
        <v>257</v>
      </c>
      <c r="G26" s="15"/>
    </row>
    <row r="27" spans="1:7" ht="13.5" customHeight="1" x14ac:dyDescent="0.2">
      <c r="A27" s="134" t="s">
        <v>42</v>
      </c>
      <c r="B27" s="63">
        <v>405810511.17000002</v>
      </c>
      <c r="C27" s="63">
        <v>264018476.55000004</v>
      </c>
      <c r="D27" s="63">
        <v>139255591.71000001</v>
      </c>
      <c r="E27" s="63">
        <v>1099967.0899999999</v>
      </c>
      <c r="F27" s="63">
        <v>1436475.8199999998</v>
      </c>
      <c r="G27" s="15"/>
    </row>
    <row r="28" spans="1:7" ht="13.5" customHeight="1" x14ac:dyDescent="0.2">
      <c r="A28" s="64" t="s">
        <v>21</v>
      </c>
      <c r="B28" s="63">
        <v>146404008.61000001</v>
      </c>
      <c r="C28" s="63">
        <v>38641453.68</v>
      </c>
      <c r="D28" s="63">
        <v>18394644.149999999</v>
      </c>
      <c r="E28" s="63">
        <v>361688.88</v>
      </c>
      <c r="F28" s="63">
        <v>89006221.900000006</v>
      </c>
      <c r="G28" s="15"/>
    </row>
    <row r="29" spans="1:7" ht="13.5" customHeight="1" x14ac:dyDescent="0.2">
      <c r="A29" s="134" t="s">
        <v>43</v>
      </c>
      <c r="B29" s="63">
        <v>17768860.730000004</v>
      </c>
      <c r="C29" s="63">
        <v>14229865.050000003</v>
      </c>
      <c r="D29" s="63">
        <v>3122276.3099999996</v>
      </c>
      <c r="E29" s="133" t="s">
        <v>56</v>
      </c>
      <c r="F29" s="63">
        <v>416719.37</v>
      </c>
      <c r="G29" s="15"/>
    </row>
    <row r="30" spans="1:7" ht="13.5" customHeight="1" x14ac:dyDescent="0.2">
      <c r="A30" s="134" t="s">
        <v>44</v>
      </c>
      <c r="B30" s="63">
        <v>911196.48</v>
      </c>
      <c r="C30" s="63">
        <v>806575.1</v>
      </c>
      <c r="D30" s="63">
        <v>81430.22</v>
      </c>
      <c r="E30" s="133" t="s">
        <v>56</v>
      </c>
      <c r="F30" s="63">
        <v>23191.16</v>
      </c>
      <c r="G30" s="15"/>
    </row>
    <row r="31" spans="1:7" ht="13.5" customHeight="1" x14ac:dyDescent="0.2">
      <c r="A31" s="134" t="s">
        <v>45</v>
      </c>
      <c r="B31" s="63">
        <v>1694578.0799999998</v>
      </c>
      <c r="C31" s="63">
        <v>806669.45</v>
      </c>
      <c r="D31" s="63">
        <v>746441.23</v>
      </c>
      <c r="E31" s="133" t="s">
        <v>56</v>
      </c>
      <c r="F31" s="63">
        <v>141467.4</v>
      </c>
      <c r="G31" s="15"/>
    </row>
    <row r="32" spans="1:7" ht="13.5" customHeight="1" x14ac:dyDescent="0.2">
      <c r="A32" s="134" t="s">
        <v>46</v>
      </c>
      <c r="B32" s="63">
        <v>126029373.31999999</v>
      </c>
      <c r="C32" s="63">
        <v>22798344.079999998</v>
      </c>
      <c r="D32" s="63">
        <v>14444496.390000001</v>
      </c>
      <c r="E32" s="63">
        <v>361688.88</v>
      </c>
      <c r="F32" s="63">
        <v>88424843.969999999</v>
      </c>
      <c r="G32" s="15"/>
    </row>
    <row r="33" spans="1:7" ht="13.5" customHeight="1" x14ac:dyDescent="0.2">
      <c r="A33" s="64" t="s">
        <v>35</v>
      </c>
      <c r="B33" s="63">
        <v>20424956.740000002</v>
      </c>
      <c r="C33" s="63">
        <v>761767.04</v>
      </c>
      <c r="D33" s="63">
        <v>19372137.810000002</v>
      </c>
      <c r="E33" s="63">
        <v>3254</v>
      </c>
      <c r="F33" s="63">
        <v>287797.89</v>
      </c>
      <c r="G33" s="15"/>
    </row>
    <row r="34" spans="1:7" ht="13.5" customHeight="1" x14ac:dyDescent="0.2">
      <c r="A34" s="64" t="s">
        <v>33</v>
      </c>
      <c r="B34" s="63">
        <v>551870880.76999998</v>
      </c>
      <c r="C34" s="63">
        <v>173598961.05999997</v>
      </c>
      <c r="D34" s="63">
        <v>361085157.31</v>
      </c>
      <c r="E34" s="63">
        <v>2718264.55</v>
      </c>
      <c r="F34" s="63">
        <v>14468497.850000001</v>
      </c>
      <c r="G34" s="15"/>
    </row>
    <row r="35" spans="1:7" ht="13.5" customHeight="1" x14ac:dyDescent="0.2">
      <c r="A35" s="136" t="s">
        <v>27</v>
      </c>
      <c r="B35" s="138">
        <v>178793985.20999998</v>
      </c>
      <c r="C35" s="138">
        <v>63241124.54999999</v>
      </c>
      <c r="D35" s="138">
        <v>104481051.92</v>
      </c>
      <c r="E35" s="138">
        <v>269033.42</v>
      </c>
      <c r="F35" s="138">
        <v>10802775.32</v>
      </c>
      <c r="G35" s="15"/>
    </row>
    <row r="37" spans="1:7" ht="13.5" customHeight="1" x14ac:dyDescent="0.2">
      <c r="A37" s="17" t="s">
        <v>58</v>
      </c>
    </row>
    <row r="38" spans="1:7" ht="13.5" customHeight="1" x14ac:dyDescent="0.2">
      <c r="A38" s="14" t="s">
        <v>60</v>
      </c>
    </row>
  </sheetData>
  <mergeCells count="3">
    <mergeCell ref="A4:A5"/>
    <mergeCell ref="B4:B5"/>
    <mergeCell ref="C4:F4"/>
  </mergeCells>
  <hyperlinks>
    <hyperlink ref="F1" location="Obsah!A1" display="Naspäť na obsah"/>
  </hyperlinks>
  <pageMargins left="0.7" right="0.7" top="0.75" bottom="0.75" header="0.3" footer="0.3"/>
  <pageSetup paperSize="9" scale="75" orientation="portrait" r:id="rId1"/>
  <colBreaks count="1" manualBreakCount="1">
    <brk id="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árok3"/>
  <dimension ref="A1:M37"/>
  <sheetViews>
    <sheetView zoomScaleNormal="100" workbookViewId="0">
      <selection activeCell="A3" sqref="A3"/>
    </sheetView>
  </sheetViews>
  <sheetFormatPr defaultRowHeight="13.5" customHeight="1" x14ac:dyDescent="0.2"/>
  <cols>
    <col min="1" max="1" width="39.125" style="9" customWidth="1"/>
    <col min="2" max="3" width="17.75" style="9" customWidth="1"/>
    <col min="4" max="9" width="12" style="9" customWidth="1"/>
    <col min="10" max="11" width="13.375" style="9" customWidth="1"/>
    <col min="12" max="12" width="20.875" style="9" customWidth="1"/>
    <col min="13" max="13" width="15.875" style="10" customWidth="1"/>
    <col min="14" max="14" width="16.5" style="9" customWidth="1"/>
    <col min="15" max="30" width="13.5" style="9" customWidth="1"/>
    <col min="31" max="34" width="8" style="9"/>
    <col min="35" max="16384" width="9" style="9"/>
  </cols>
  <sheetData>
    <row r="1" spans="1:11" ht="13.5" customHeight="1" x14ac:dyDescent="0.2">
      <c r="A1" s="16" t="s">
        <v>148</v>
      </c>
      <c r="D1" s="149" t="s">
        <v>153</v>
      </c>
    </row>
    <row r="2" spans="1:11" ht="13.5" customHeight="1" x14ac:dyDescent="0.2">
      <c r="A2" s="6" t="s">
        <v>90</v>
      </c>
    </row>
    <row r="3" spans="1:11" ht="13.5" customHeight="1" x14ac:dyDescent="0.2">
      <c r="A3" s="8"/>
      <c r="E3" s="139"/>
      <c r="F3" s="139"/>
      <c r="G3" s="139"/>
      <c r="H3" s="139"/>
      <c r="I3" s="139"/>
    </row>
    <row r="4" spans="1:11" s="14" customFormat="1" ht="16.5" customHeight="1" x14ac:dyDescent="0.2">
      <c r="A4" s="172" t="s">
        <v>29</v>
      </c>
      <c r="B4" s="177" t="s">
        <v>55</v>
      </c>
      <c r="C4" s="178"/>
      <c r="D4" s="11"/>
      <c r="E4" s="147"/>
      <c r="F4" s="148"/>
      <c r="G4" s="148"/>
      <c r="H4" s="12"/>
      <c r="I4" s="11"/>
      <c r="J4" s="4"/>
      <c r="K4" s="13"/>
    </row>
    <row r="5" spans="1:11" ht="36" customHeight="1" x14ac:dyDescent="0.2">
      <c r="A5" s="173"/>
      <c r="B5" s="91" t="s">
        <v>53</v>
      </c>
      <c r="C5" s="91" t="s">
        <v>54</v>
      </c>
      <c r="E5" s="147"/>
      <c r="F5" s="18"/>
      <c r="G5" s="18"/>
      <c r="H5" s="139"/>
      <c r="I5" s="139"/>
    </row>
    <row r="6" spans="1:11" ht="13.5" customHeight="1" x14ac:dyDescent="0.2">
      <c r="A6" s="128" t="s">
        <v>11</v>
      </c>
      <c r="B6" s="129">
        <v>7526</v>
      </c>
      <c r="C6" s="129">
        <v>1768</v>
      </c>
      <c r="E6" s="140"/>
      <c r="F6" s="141"/>
      <c r="G6" s="141"/>
      <c r="H6" s="11"/>
      <c r="I6" s="11"/>
    </row>
    <row r="7" spans="1:11" ht="13.5" customHeight="1" x14ac:dyDescent="0.2">
      <c r="A7" s="130" t="s">
        <v>12</v>
      </c>
      <c r="B7" s="131">
        <v>1230871820.0100005</v>
      </c>
      <c r="C7" s="131">
        <v>1604433847.3600001</v>
      </c>
      <c r="E7" s="142"/>
      <c r="F7" s="143"/>
      <c r="G7" s="143"/>
      <c r="H7" s="11"/>
      <c r="I7" s="11"/>
    </row>
    <row r="8" spans="1:11" ht="13.5" customHeight="1" x14ac:dyDescent="0.2">
      <c r="A8" s="132" t="s">
        <v>49</v>
      </c>
      <c r="B8" s="131"/>
      <c r="C8" s="131"/>
      <c r="E8" s="118"/>
      <c r="F8" s="143"/>
      <c r="G8" s="143"/>
      <c r="H8" s="11"/>
      <c r="I8" s="11"/>
    </row>
    <row r="9" spans="1:11" ht="13.5" customHeight="1" x14ac:dyDescent="0.2">
      <c r="A9" s="64" t="s">
        <v>15</v>
      </c>
      <c r="B9" s="63">
        <v>407112922.26000011</v>
      </c>
      <c r="C9" s="63">
        <v>107888527.73999991</v>
      </c>
      <c r="E9" s="144"/>
      <c r="F9" s="33"/>
      <c r="G9" s="33"/>
      <c r="H9" s="11"/>
      <c r="I9" s="11"/>
    </row>
    <row r="10" spans="1:11" ht="13.5" customHeight="1" x14ac:dyDescent="0.2">
      <c r="A10" s="64" t="s">
        <v>16</v>
      </c>
      <c r="B10" s="63">
        <v>150391740.56000018</v>
      </c>
      <c r="C10" s="63">
        <v>39725045.069999993</v>
      </c>
      <c r="E10" s="144"/>
      <c r="F10" s="33"/>
      <c r="G10" s="33"/>
      <c r="H10" s="11"/>
      <c r="I10" s="11"/>
    </row>
    <row r="11" spans="1:11" ht="13.5" customHeight="1" x14ac:dyDescent="0.2">
      <c r="A11" s="64" t="s">
        <v>17</v>
      </c>
      <c r="B11" s="63">
        <v>51003163.559999935</v>
      </c>
      <c r="C11" s="63">
        <v>996620392.51000178</v>
      </c>
      <c r="E11" s="144"/>
      <c r="F11" s="33"/>
      <c r="G11" s="33"/>
      <c r="H11" s="11"/>
      <c r="I11" s="11"/>
    </row>
    <row r="12" spans="1:11" ht="13.5" customHeight="1" x14ac:dyDescent="0.2">
      <c r="A12" s="64" t="s">
        <v>18</v>
      </c>
      <c r="B12" s="63">
        <v>87435411.219999835</v>
      </c>
      <c r="C12" s="63">
        <v>127281279.87999973</v>
      </c>
      <c r="D12" s="14"/>
      <c r="E12" s="144"/>
      <c r="F12" s="33"/>
      <c r="G12" s="33"/>
      <c r="H12" s="11"/>
      <c r="I12" s="11"/>
    </row>
    <row r="13" spans="1:11" ht="13.5" customHeight="1" x14ac:dyDescent="0.2">
      <c r="A13" s="64" t="s">
        <v>50</v>
      </c>
      <c r="B13" s="63">
        <v>384586.33</v>
      </c>
      <c r="C13" s="63">
        <v>168579500.64999977</v>
      </c>
      <c r="E13" s="144"/>
      <c r="F13" s="33"/>
      <c r="G13" s="33"/>
      <c r="H13" s="11"/>
      <c r="I13" s="11"/>
    </row>
    <row r="14" spans="1:11" ht="13.5" customHeight="1" x14ac:dyDescent="0.2">
      <c r="A14" s="64" t="s">
        <v>28</v>
      </c>
      <c r="B14" s="63">
        <v>1389112.4300000002</v>
      </c>
      <c r="C14" s="63">
        <v>10036.200000000001</v>
      </c>
      <c r="E14" s="144"/>
      <c r="F14" s="33"/>
      <c r="G14" s="33"/>
      <c r="H14" s="11"/>
      <c r="I14" s="11"/>
    </row>
    <row r="15" spans="1:11" ht="13.5" customHeight="1" x14ac:dyDescent="0.2">
      <c r="A15" s="64" t="s">
        <v>19</v>
      </c>
      <c r="B15" s="133">
        <v>84757043.02000007</v>
      </c>
      <c r="C15" s="133">
        <v>16055053.830000008</v>
      </c>
      <c r="E15" s="144"/>
      <c r="F15" s="145"/>
      <c r="G15" s="145"/>
      <c r="H15" s="11"/>
      <c r="I15" s="11"/>
    </row>
    <row r="16" spans="1:11" ht="13.5" customHeight="1" x14ac:dyDescent="0.2">
      <c r="A16" s="64" t="s">
        <v>20</v>
      </c>
      <c r="B16" s="133">
        <v>19317509.710000016</v>
      </c>
      <c r="C16" s="133">
        <v>5404205.0299999993</v>
      </c>
      <c r="E16" s="144"/>
      <c r="F16" s="145"/>
      <c r="G16" s="145"/>
      <c r="H16" s="11"/>
      <c r="I16" s="11"/>
    </row>
    <row r="17" spans="1:13" ht="13.5" customHeight="1" x14ac:dyDescent="0.2">
      <c r="A17" s="64" t="s">
        <v>31</v>
      </c>
      <c r="B17" s="63">
        <v>33764807.110000007</v>
      </c>
      <c r="C17" s="63">
        <v>4532931.5900000026</v>
      </c>
      <c r="E17" s="144"/>
      <c r="F17" s="33"/>
      <c r="G17" s="33"/>
      <c r="H17" s="11"/>
      <c r="I17" s="11"/>
    </row>
    <row r="18" spans="1:13" ht="13.5" customHeight="1" x14ac:dyDescent="0.2">
      <c r="A18" s="64" t="s">
        <v>37</v>
      </c>
      <c r="B18" s="63">
        <v>63746863.600000024</v>
      </c>
      <c r="C18" s="63">
        <v>11507682.889999997</v>
      </c>
      <c r="E18" s="144"/>
      <c r="F18" s="33"/>
      <c r="G18" s="33"/>
      <c r="H18" s="11"/>
      <c r="I18" s="11"/>
    </row>
    <row r="19" spans="1:13" ht="13.5" customHeight="1" x14ac:dyDescent="0.2">
      <c r="A19" s="130" t="s">
        <v>14</v>
      </c>
      <c r="B19" s="131">
        <v>1482399462.3700006</v>
      </c>
      <c r="C19" s="131">
        <v>1635749620.6200013</v>
      </c>
      <c r="E19" s="142"/>
      <c r="F19" s="143"/>
      <c r="G19" s="143"/>
      <c r="H19" s="11"/>
      <c r="I19" s="11"/>
      <c r="M19" s="13"/>
    </row>
    <row r="20" spans="1:13" ht="13.5" customHeight="1" x14ac:dyDescent="0.2">
      <c r="A20" s="64" t="s">
        <v>34</v>
      </c>
      <c r="B20" s="63">
        <v>1125051136.4300001</v>
      </c>
      <c r="C20" s="63">
        <v>852137122.92000055</v>
      </c>
      <c r="E20" s="144"/>
      <c r="F20" s="33"/>
      <c r="G20" s="33"/>
      <c r="H20" s="11"/>
      <c r="I20" s="11"/>
      <c r="M20" s="13"/>
    </row>
    <row r="21" spans="1:13" ht="13.5" customHeight="1" x14ac:dyDescent="0.2">
      <c r="A21" s="64" t="s">
        <v>38</v>
      </c>
      <c r="B21" s="63"/>
      <c r="C21" s="63"/>
      <c r="E21" s="144"/>
      <c r="F21" s="33"/>
      <c r="G21" s="33"/>
      <c r="H21" s="11"/>
      <c r="I21" s="11"/>
      <c r="M21" s="13"/>
    </row>
    <row r="22" spans="1:13" ht="13.5" customHeight="1" x14ac:dyDescent="0.2">
      <c r="A22" s="134" t="s">
        <v>41</v>
      </c>
      <c r="B22" s="63">
        <v>9693543.620000001</v>
      </c>
      <c r="C22" s="63">
        <v>24685.88</v>
      </c>
      <c r="E22" s="146"/>
      <c r="F22" s="33"/>
      <c r="G22" s="33"/>
      <c r="H22" s="11"/>
      <c r="I22" s="11"/>
      <c r="M22" s="13"/>
    </row>
    <row r="23" spans="1:13" ht="13.5" customHeight="1" x14ac:dyDescent="0.2">
      <c r="A23" s="134" t="s">
        <v>51</v>
      </c>
      <c r="B23" s="63">
        <v>27961983.550000001</v>
      </c>
      <c r="C23" s="133" t="s">
        <v>56</v>
      </c>
      <c r="E23" s="146"/>
      <c r="F23" s="33"/>
      <c r="G23" s="145"/>
      <c r="H23" s="11"/>
      <c r="I23" s="11"/>
      <c r="M23" s="13"/>
    </row>
    <row r="24" spans="1:13" ht="13.5" customHeight="1" x14ac:dyDescent="0.2">
      <c r="A24" s="134" t="s">
        <v>85</v>
      </c>
      <c r="B24" s="63">
        <v>50304692.090000011</v>
      </c>
      <c r="C24" s="133">
        <v>94588.5</v>
      </c>
      <c r="E24" s="146"/>
      <c r="F24" s="33"/>
      <c r="G24" s="33"/>
      <c r="H24" s="11"/>
      <c r="I24" s="11"/>
      <c r="M24" s="13"/>
    </row>
    <row r="25" spans="1:13" ht="13.5" customHeight="1" x14ac:dyDescent="0.2">
      <c r="A25" s="134" t="s">
        <v>42</v>
      </c>
      <c r="B25" s="63">
        <v>701586159.20000005</v>
      </c>
      <c r="C25" s="63">
        <v>3074022.56</v>
      </c>
      <c r="E25" s="146"/>
      <c r="F25" s="33"/>
      <c r="G25" s="33"/>
      <c r="H25" s="11"/>
      <c r="I25" s="11"/>
    </row>
    <row r="26" spans="1:13" ht="13.5" customHeight="1" x14ac:dyDescent="0.2">
      <c r="A26" s="134" t="s">
        <v>52</v>
      </c>
      <c r="B26" s="63">
        <v>291560263.97000039</v>
      </c>
      <c r="C26" s="63">
        <v>574679.94999999995</v>
      </c>
      <c r="E26" s="146"/>
      <c r="F26" s="33"/>
      <c r="G26" s="33"/>
      <c r="H26" s="11"/>
      <c r="I26" s="11"/>
      <c r="M26" s="13"/>
    </row>
    <row r="27" spans="1:13" ht="13.5" customHeight="1" x14ac:dyDescent="0.2">
      <c r="A27" s="64" t="s">
        <v>21</v>
      </c>
      <c r="B27" s="63">
        <v>210715197.39999998</v>
      </c>
      <c r="C27" s="63">
        <v>689565502.06999958</v>
      </c>
      <c r="E27" s="144"/>
      <c r="F27" s="33"/>
      <c r="G27" s="33"/>
      <c r="H27" s="11"/>
      <c r="I27" s="11"/>
      <c r="M27" s="13"/>
    </row>
    <row r="28" spans="1:13" ht="13.5" customHeight="1" x14ac:dyDescent="0.2">
      <c r="A28" s="134" t="s">
        <v>43</v>
      </c>
      <c r="B28" s="63">
        <v>5953009.6999999983</v>
      </c>
      <c r="C28" s="63">
        <v>430568470.46999991</v>
      </c>
      <c r="E28" s="146"/>
      <c r="F28" s="33"/>
      <c r="G28" s="33"/>
      <c r="H28" s="11"/>
      <c r="I28" s="11"/>
      <c r="M28" s="13"/>
    </row>
    <row r="29" spans="1:13" ht="13.5" customHeight="1" x14ac:dyDescent="0.2">
      <c r="A29" s="134" t="s">
        <v>44</v>
      </c>
      <c r="B29" s="63">
        <v>3409041.22</v>
      </c>
      <c r="C29" s="63">
        <v>46209336.249999948</v>
      </c>
      <c r="E29" s="146"/>
      <c r="F29" s="33"/>
      <c r="G29" s="33"/>
      <c r="H29" s="11"/>
      <c r="I29" s="11"/>
      <c r="M29" s="13"/>
    </row>
    <row r="30" spans="1:13" ht="13.5" customHeight="1" x14ac:dyDescent="0.2">
      <c r="A30" s="134" t="s">
        <v>45</v>
      </c>
      <c r="B30" s="63">
        <v>474938.48</v>
      </c>
      <c r="C30" s="63">
        <v>196495500.58999985</v>
      </c>
      <c r="E30" s="146"/>
      <c r="F30" s="33"/>
      <c r="G30" s="33"/>
      <c r="H30" s="11"/>
      <c r="I30" s="11"/>
    </row>
    <row r="31" spans="1:13" ht="13.5" customHeight="1" x14ac:dyDescent="0.2">
      <c r="A31" s="134" t="s">
        <v>46</v>
      </c>
      <c r="B31" s="63">
        <v>200878208</v>
      </c>
      <c r="C31" s="63">
        <v>16292194.760000005</v>
      </c>
      <c r="E31" s="146"/>
      <c r="F31" s="33"/>
      <c r="G31" s="33"/>
      <c r="H31" s="11"/>
      <c r="I31" s="11"/>
    </row>
    <row r="32" spans="1:13" ht="13.5" customHeight="1" x14ac:dyDescent="0.2">
      <c r="A32" s="64" t="s">
        <v>35</v>
      </c>
      <c r="B32" s="63">
        <v>1183799.1799999997</v>
      </c>
      <c r="C32" s="63">
        <v>68853.509999999995</v>
      </c>
      <c r="E32" s="144"/>
      <c r="F32" s="33"/>
      <c r="G32" s="33"/>
      <c r="H32" s="11"/>
      <c r="I32" s="11"/>
    </row>
    <row r="33" spans="1:9" ht="13.5" customHeight="1" x14ac:dyDescent="0.2">
      <c r="A33" s="64" t="s">
        <v>33</v>
      </c>
      <c r="B33" s="63">
        <v>145449329.3600001</v>
      </c>
      <c r="C33" s="63">
        <v>93978142.12000002</v>
      </c>
      <c r="E33" s="144"/>
      <c r="F33" s="33"/>
      <c r="G33" s="33"/>
      <c r="H33" s="11"/>
      <c r="I33" s="11"/>
    </row>
    <row r="34" spans="1:9" ht="13.5" customHeight="1" x14ac:dyDescent="0.2">
      <c r="A34" s="136" t="s">
        <v>27</v>
      </c>
      <c r="B34" s="138">
        <v>251527642.36000001</v>
      </c>
      <c r="C34" s="138">
        <v>31315773.260000009</v>
      </c>
      <c r="E34" s="142"/>
      <c r="F34" s="143"/>
      <c r="G34" s="143"/>
      <c r="H34" s="11"/>
      <c r="I34" s="11"/>
    </row>
    <row r="35" spans="1:9" ht="13.5" customHeight="1" x14ac:dyDescent="0.2">
      <c r="E35" s="139"/>
      <c r="F35" s="139"/>
      <c r="G35" s="139"/>
      <c r="H35" s="139"/>
      <c r="I35" s="139"/>
    </row>
    <row r="36" spans="1:9" ht="13.5" customHeight="1" x14ac:dyDescent="0.2">
      <c r="E36" s="139"/>
      <c r="F36" s="139"/>
      <c r="G36" s="139"/>
      <c r="H36" s="139"/>
      <c r="I36" s="139"/>
    </row>
    <row r="37" spans="1:9" ht="13.5" customHeight="1" x14ac:dyDescent="0.2">
      <c r="E37" s="139"/>
      <c r="F37" s="139"/>
      <c r="G37" s="139"/>
      <c r="H37" s="139"/>
      <c r="I37" s="139"/>
    </row>
  </sheetData>
  <mergeCells count="2">
    <mergeCell ref="A4:A5"/>
    <mergeCell ref="B4:C4"/>
  </mergeCells>
  <hyperlinks>
    <hyperlink ref="D1" location="Obsah!A1" display="Naspäť na obsah"/>
  </hyperlinks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9"/>
  <sheetViews>
    <sheetView zoomScaleNormal="100" workbookViewId="0">
      <selection activeCell="A3" sqref="A3"/>
    </sheetView>
  </sheetViews>
  <sheetFormatPr defaultRowHeight="13.5" customHeight="1" x14ac:dyDescent="0.2"/>
  <cols>
    <col min="1" max="1" width="27.5" style="2" bestFit="1" customWidth="1"/>
    <col min="2" max="2" width="13.5" style="3" customWidth="1"/>
    <col min="3" max="4" width="13.5" style="2" customWidth="1"/>
    <col min="5" max="10" width="12.625" style="2" customWidth="1"/>
    <col min="11" max="11" width="12.625" style="3" customWidth="1"/>
    <col min="12" max="12" width="21.375" style="2" bestFit="1" customWidth="1"/>
    <col min="13" max="15" width="9.625" style="2" customWidth="1"/>
    <col min="16" max="17" width="11" style="2" customWidth="1"/>
    <col min="18" max="16384" width="9" style="2"/>
  </cols>
  <sheetData>
    <row r="1" spans="1:15" ht="13.5" customHeight="1" x14ac:dyDescent="0.2">
      <c r="A1" s="16" t="s">
        <v>148</v>
      </c>
      <c r="F1" s="149" t="s">
        <v>153</v>
      </c>
      <c r="G1" s="34"/>
      <c r="H1" s="24"/>
      <c r="I1" s="24"/>
      <c r="J1" s="24"/>
      <c r="K1" s="31"/>
    </row>
    <row r="2" spans="1:15" ht="13.5" customHeight="1" x14ac:dyDescent="0.2">
      <c r="A2" s="34" t="s">
        <v>91</v>
      </c>
      <c r="G2" s="24"/>
      <c r="H2" s="24"/>
      <c r="I2" s="24"/>
      <c r="J2" s="24"/>
      <c r="K2" s="25"/>
    </row>
    <row r="3" spans="1:15" ht="13.5" customHeight="1" x14ac:dyDescent="0.2">
      <c r="G3" s="23"/>
      <c r="H3" s="24"/>
      <c r="I3" s="24"/>
      <c r="J3" s="24"/>
      <c r="K3" s="25"/>
    </row>
    <row r="4" spans="1:15" ht="13.5" customHeight="1" x14ac:dyDescent="0.2">
      <c r="A4" s="179" t="s">
        <v>29</v>
      </c>
      <c r="B4" s="181" t="s">
        <v>86</v>
      </c>
      <c r="C4" s="179"/>
      <c r="D4" s="179"/>
      <c r="G4" s="23"/>
      <c r="H4" s="24"/>
      <c r="I4" s="24"/>
      <c r="J4" s="24"/>
      <c r="K4" s="25"/>
      <c r="L4" s="2" t="s">
        <v>151</v>
      </c>
    </row>
    <row r="5" spans="1:15" ht="39.75" customHeight="1" x14ac:dyDescent="0.2">
      <c r="A5" s="180"/>
      <c r="B5" s="35" t="s">
        <v>80</v>
      </c>
      <c r="C5" s="36" t="s">
        <v>81</v>
      </c>
      <c r="D5" s="36" t="s">
        <v>78</v>
      </c>
      <c r="G5" s="23"/>
      <c r="H5" s="24"/>
      <c r="I5" s="24"/>
      <c r="J5" s="24"/>
      <c r="K5" s="25"/>
      <c r="L5" s="103" t="s">
        <v>61</v>
      </c>
      <c r="M5" s="36" t="s">
        <v>78</v>
      </c>
      <c r="N5" s="36" t="s">
        <v>81</v>
      </c>
      <c r="O5" s="35" t="s">
        <v>80</v>
      </c>
    </row>
    <row r="6" spans="1:15" ht="13.5" customHeight="1" x14ac:dyDescent="0.2">
      <c r="A6" s="65" t="s">
        <v>12</v>
      </c>
      <c r="B6" s="66">
        <v>1230871820.0100005</v>
      </c>
      <c r="C6" s="67">
        <v>2798651920.7999997</v>
      </c>
      <c r="D6" s="67">
        <v>1604433847.3600001</v>
      </c>
      <c r="G6" s="23"/>
      <c r="H6" s="24"/>
      <c r="I6" s="24"/>
      <c r="J6" s="24"/>
      <c r="K6" s="25"/>
      <c r="L6" s="97" t="s">
        <v>75</v>
      </c>
      <c r="M6" s="93">
        <v>9.2003527009162256E-2</v>
      </c>
      <c r="N6" s="93">
        <v>0.51904643353960311</v>
      </c>
      <c r="O6" s="93">
        <v>0.45293478472475773</v>
      </c>
    </row>
    <row r="7" spans="1:15" ht="13.5" customHeight="1" x14ac:dyDescent="0.2">
      <c r="A7" s="68" t="s">
        <v>62</v>
      </c>
      <c r="B7" s="63">
        <v>557504662.82000029</v>
      </c>
      <c r="C7" s="69">
        <v>1452630298.2099998</v>
      </c>
      <c r="D7" s="69">
        <v>147613572.80999988</v>
      </c>
      <c r="G7" s="23"/>
      <c r="H7" s="24"/>
      <c r="I7" s="24"/>
      <c r="J7" s="24"/>
      <c r="K7" s="25"/>
      <c r="L7" s="98" t="s">
        <v>17</v>
      </c>
      <c r="M7" s="95">
        <v>0.6211663971997855</v>
      </c>
      <c r="N7" s="95">
        <v>9.825588016368797E-2</v>
      </c>
      <c r="O7" s="94">
        <v>4.1436616494791106E-2</v>
      </c>
    </row>
    <row r="8" spans="1:15" ht="13.5" customHeight="1" x14ac:dyDescent="0.2">
      <c r="A8" s="70" t="s">
        <v>63</v>
      </c>
      <c r="B8" s="63">
        <v>51003163.559999935</v>
      </c>
      <c r="C8" s="69">
        <v>274984007.74999994</v>
      </c>
      <c r="D8" s="69">
        <v>996620392.51000178</v>
      </c>
      <c r="G8" s="23"/>
      <c r="H8" s="24"/>
      <c r="I8" s="24"/>
      <c r="J8" s="24"/>
      <c r="K8" s="25"/>
      <c r="L8" s="98" t="s">
        <v>18</v>
      </c>
      <c r="M8" s="95">
        <v>7.9330961565933958E-2</v>
      </c>
      <c r="N8" s="95">
        <v>0.11912507788560574</v>
      </c>
      <c r="O8" s="94">
        <v>7.1035350552821536E-2</v>
      </c>
    </row>
    <row r="9" spans="1:15" ht="13.5" customHeight="1" x14ac:dyDescent="0.2">
      <c r="A9" s="70" t="s">
        <v>18</v>
      </c>
      <c r="B9" s="63">
        <v>87435411.219999835</v>
      </c>
      <c r="C9" s="69">
        <v>333389628.04000008</v>
      </c>
      <c r="D9" s="69">
        <v>127281279.87999973</v>
      </c>
      <c r="G9" s="23"/>
      <c r="H9" s="24"/>
      <c r="I9" s="24"/>
      <c r="J9" s="24"/>
      <c r="K9" s="25"/>
      <c r="L9" s="92" t="s">
        <v>65</v>
      </c>
      <c r="M9" s="95">
        <v>0.10507101986622087</v>
      </c>
      <c r="N9" s="95">
        <v>4.4855484194731741E-4</v>
      </c>
      <c r="O9" s="94">
        <v>3.1245034921416543E-4</v>
      </c>
    </row>
    <row r="10" spans="1:15" ht="13.5" customHeight="1" x14ac:dyDescent="0.2">
      <c r="A10" s="64" t="s">
        <v>65</v>
      </c>
      <c r="B10" s="63">
        <v>384586.33</v>
      </c>
      <c r="C10" s="69">
        <v>1255348.8700000001</v>
      </c>
      <c r="D10" s="69">
        <v>168579500.64999977</v>
      </c>
      <c r="G10" s="23"/>
      <c r="H10" s="24"/>
      <c r="I10" s="24"/>
      <c r="J10" s="24"/>
      <c r="K10" s="25"/>
      <c r="L10" s="92" t="s">
        <v>28</v>
      </c>
      <c r="M10" s="95">
        <v>6.2552906226167985E-6</v>
      </c>
      <c r="N10" s="95">
        <v>1.2004161646653319E-2</v>
      </c>
      <c r="O10" s="94">
        <v>1.1285597796760951E-3</v>
      </c>
    </row>
    <row r="11" spans="1:15" ht="13.5" customHeight="1" x14ac:dyDescent="0.2">
      <c r="A11" s="64" t="s">
        <v>28</v>
      </c>
      <c r="B11" s="63">
        <v>1389112.4300000002</v>
      </c>
      <c r="C11" s="69">
        <v>33595470.049999997</v>
      </c>
      <c r="D11" s="69">
        <v>10036.200000000001</v>
      </c>
      <c r="G11" s="23"/>
      <c r="H11" s="24"/>
      <c r="I11" s="24"/>
      <c r="J11" s="24"/>
      <c r="K11" s="25"/>
      <c r="L11" s="92" t="s">
        <v>19</v>
      </c>
      <c r="M11" s="95">
        <v>1.0006678590343652E-2</v>
      </c>
      <c r="N11" s="95">
        <v>3.2974770800943409E-2</v>
      </c>
      <c r="O11" s="94">
        <v>6.8859357767498033E-2</v>
      </c>
    </row>
    <row r="12" spans="1:15" ht="13.5" customHeight="1" x14ac:dyDescent="0.2">
      <c r="A12" s="64" t="s">
        <v>68</v>
      </c>
      <c r="B12" s="63">
        <v>84757043.02000007</v>
      </c>
      <c r="C12" s="69">
        <v>92284905.640000015</v>
      </c>
      <c r="D12" s="69">
        <v>16055053.830000008</v>
      </c>
      <c r="G12" s="23"/>
      <c r="H12" s="24"/>
      <c r="I12" s="24"/>
      <c r="J12" s="24"/>
      <c r="K12" s="25"/>
      <c r="L12" s="92" t="s">
        <v>20</v>
      </c>
      <c r="M12" s="95">
        <v>3.3682940801157339E-3</v>
      </c>
      <c r="N12" s="95">
        <v>2.2552288600419509E-2</v>
      </c>
      <c r="O12" s="94">
        <v>1.5694168471452264E-2</v>
      </c>
    </row>
    <row r="13" spans="1:15" ht="13.5" customHeight="1" x14ac:dyDescent="0.2">
      <c r="A13" s="64" t="s">
        <v>20</v>
      </c>
      <c r="B13" s="63">
        <v>19317509.710000016</v>
      </c>
      <c r="C13" s="69">
        <v>63116005.809999995</v>
      </c>
      <c r="D13" s="69">
        <v>5404205.0299999993</v>
      </c>
      <c r="G13" s="23"/>
      <c r="H13" s="24"/>
      <c r="I13" s="24"/>
      <c r="J13" s="24"/>
      <c r="K13" s="25"/>
      <c r="L13" s="92" t="s">
        <v>32</v>
      </c>
      <c r="M13" s="95">
        <v>0</v>
      </c>
      <c r="N13" s="95">
        <v>1.3135355031751046E-2</v>
      </c>
      <c r="O13" s="94">
        <v>1.1391925440202276E-5</v>
      </c>
    </row>
    <row r="14" spans="1:15" ht="13.5" customHeight="1" x14ac:dyDescent="0.2">
      <c r="A14" s="64" t="s">
        <v>70</v>
      </c>
      <c r="B14" s="63">
        <v>14022</v>
      </c>
      <c r="C14" s="69">
        <v>36761286.590000004</v>
      </c>
      <c r="D14" s="69">
        <v>0</v>
      </c>
      <c r="G14" s="23"/>
      <c r="H14" s="24"/>
      <c r="I14" s="24"/>
      <c r="J14" s="24"/>
      <c r="K14" s="25"/>
      <c r="L14" s="92" t="s">
        <v>76</v>
      </c>
      <c r="M14" s="95">
        <v>2.8252530308174877E-3</v>
      </c>
      <c r="N14" s="95">
        <v>1.6311669961783123E-2</v>
      </c>
      <c r="O14" s="94">
        <v>2.7431619248319192E-2</v>
      </c>
    </row>
    <row r="15" spans="1:15" ht="13.5" customHeight="1" x14ac:dyDescent="0.2">
      <c r="A15" s="64" t="s">
        <v>71</v>
      </c>
      <c r="B15" s="63">
        <v>33764807.110000007</v>
      </c>
      <c r="C15" s="69">
        <v>45650686.469999999</v>
      </c>
      <c r="D15" s="69">
        <v>4532931.5900000026</v>
      </c>
      <c r="G15" s="23"/>
      <c r="H15" s="24"/>
      <c r="I15" s="24"/>
      <c r="J15" s="24"/>
      <c r="K15" s="25"/>
      <c r="L15" s="99" t="s">
        <v>77</v>
      </c>
      <c r="M15" s="96">
        <v>8.6221613366998101E-2</v>
      </c>
      <c r="N15" s="96">
        <v>0.16614580752760538</v>
      </c>
      <c r="O15" s="96">
        <v>0.32115570068602967</v>
      </c>
    </row>
    <row r="16" spans="1:15" ht="13.5" customHeight="1" x14ac:dyDescent="0.2">
      <c r="A16" s="71" t="s">
        <v>72</v>
      </c>
      <c r="B16" s="72">
        <f>B6-SUM(B7:B15)</f>
        <v>395301501.8100003</v>
      </c>
      <c r="C16" s="72">
        <f t="shared" ref="C16:D16" si="0">C6-SUM(C7:C15)</f>
        <v>464984283.36999989</v>
      </c>
      <c r="D16" s="72">
        <f t="shared" si="0"/>
        <v>138336874.85999918</v>
      </c>
      <c r="G16" s="23"/>
      <c r="H16" s="24"/>
      <c r="I16" s="24"/>
      <c r="J16" s="24"/>
      <c r="K16" s="25"/>
    </row>
    <row r="17" spans="1:11" ht="13.5" customHeight="1" x14ac:dyDescent="0.2">
      <c r="A17" s="46" t="s">
        <v>87</v>
      </c>
      <c r="B17" s="47"/>
      <c r="C17" s="48"/>
      <c r="D17" s="48"/>
      <c r="G17" s="23"/>
      <c r="H17" s="24"/>
      <c r="I17" s="24"/>
      <c r="J17" s="24"/>
      <c r="K17" s="25"/>
    </row>
    <row r="18" spans="1:11" ht="13.5" customHeight="1" x14ac:dyDescent="0.2">
      <c r="A18" s="150" t="s">
        <v>75</v>
      </c>
      <c r="B18" s="93">
        <v>0.45293478472475773</v>
      </c>
      <c r="C18" s="93">
        <v>0.51904643353960311</v>
      </c>
      <c r="D18" s="93">
        <v>9.2003527009162256E-2</v>
      </c>
      <c r="G18" s="23"/>
      <c r="H18" s="24"/>
      <c r="I18" s="24"/>
      <c r="J18" s="24"/>
      <c r="K18" s="25"/>
    </row>
    <row r="19" spans="1:11" ht="13.5" customHeight="1" x14ac:dyDescent="0.2">
      <c r="A19" s="70" t="s">
        <v>17</v>
      </c>
      <c r="B19" s="94">
        <v>4.1436616494791106E-2</v>
      </c>
      <c r="C19" s="95">
        <v>9.825588016368797E-2</v>
      </c>
      <c r="D19" s="95">
        <v>0.6211663971997855</v>
      </c>
      <c r="G19" s="23"/>
      <c r="H19" s="24"/>
      <c r="I19" s="24"/>
      <c r="J19" s="24"/>
      <c r="K19" s="25"/>
    </row>
    <row r="20" spans="1:11" ht="13.5" customHeight="1" x14ac:dyDescent="0.2">
      <c r="A20" s="70" t="s">
        <v>18</v>
      </c>
      <c r="B20" s="94">
        <v>7.1035350552821536E-2</v>
      </c>
      <c r="C20" s="95">
        <v>0.11912507788560574</v>
      </c>
      <c r="D20" s="95">
        <v>7.9330961565933958E-2</v>
      </c>
      <c r="G20" s="23"/>
      <c r="H20" s="24"/>
      <c r="I20" s="24"/>
      <c r="J20" s="24"/>
      <c r="K20" s="25"/>
    </row>
    <row r="21" spans="1:11" ht="13.5" customHeight="1" x14ac:dyDescent="0.2">
      <c r="A21" s="64" t="s">
        <v>65</v>
      </c>
      <c r="B21" s="94">
        <v>3.1245034921416543E-4</v>
      </c>
      <c r="C21" s="95">
        <v>4.4855484194731741E-4</v>
      </c>
      <c r="D21" s="95">
        <v>0.10507101986622087</v>
      </c>
      <c r="G21" s="23"/>
      <c r="H21" s="24"/>
      <c r="I21" s="24"/>
      <c r="J21" s="24"/>
      <c r="K21" s="25"/>
    </row>
    <row r="22" spans="1:11" ht="13.5" customHeight="1" x14ac:dyDescent="0.2">
      <c r="A22" s="64" t="s">
        <v>28</v>
      </c>
      <c r="B22" s="94">
        <v>1.1285597796760951E-3</v>
      </c>
      <c r="C22" s="95">
        <v>1.2004161646653319E-2</v>
      </c>
      <c r="D22" s="95">
        <v>6.2552906226167985E-6</v>
      </c>
      <c r="H22" s="24"/>
      <c r="I22" s="24"/>
      <c r="J22" s="24"/>
      <c r="K22" s="25"/>
    </row>
    <row r="23" spans="1:11" ht="13.5" customHeight="1" x14ac:dyDescent="0.2">
      <c r="A23" s="64" t="s">
        <v>19</v>
      </c>
      <c r="B23" s="94">
        <v>6.8859357767498033E-2</v>
      </c>
      <c r="C23" s="95">
        <v>3.2974770800943409E-2</v>
      </c>
      <c r="D23" s="95">
        <v>1.0006678590343652E-2</v>
      </c>
      <c r="G23" s="23"/>
      <c r="H23" s="24"/>
      <c r="I23" s="24"/>
      <c r="J23" s="24"/>
      <c r="K23" s="25"/>
    </row>
    <row r="24" spans="1:11" ht="13.5" customHeight="1" x14ac:dyDescent="0.2">
      <c r="A24" s="64" t="s">
        <v>20</v>
      </c>
      <c r="B24" s="94">
        <v>1.5694168471452264E-2</v>
      </c>
      <c r="C24" s="95">
        <v>2.2552288600419509E-2</v>
      </c>
      <c r="D24" s="95">
        <v>3.3682940801157339E-3</v>
      </c>
      <c r="G24" s="23"/>
      <c r="H24" s="24"/>
      <c r="I24" s="24"/>
      <c r="J24" s="24"/>
      <c r="K24" s="25"/>
    </row>
    <row r="25" spans="1:11" ht="13.5" customHeight="1" x14ac:dyDescent="0.2">
      <c r="A25" s="64" t="s">
        <v>32</v>
      </c>
      <c r="B25" s="94">
        <v>1.1391925440202276E-5</v>
      </c>
      <c r="C25" s="95">
        <v>1.3135355031751046E-2</v>
      </c>
      <c r="D25" s="95">
        <v>0</v>
      </c>
      <c r="H25" s="24"/>
      <c r="I25" s="24"/>
      <c r="J25" s="24"/>
      <c r="K25" s="25"/>
    </row>
    <row r="26" spans="1:11" ht="13.5" customHeight="1" x14ac:dyDescent="0.2">
      <c r="A26" s="64" t="s">
        <v>76</v>
      </c>
      <c r="B26" s="94">
        <v>2.7431619248319192E-2</v>
      </c>
      <c r="C26" s="95">
        <v>1.6311669961783123E-2</v>
      </c>
      <c r="D26" s="95">
        <v>2.8252530308174877E-3</v>
      </c>
      <c r="H26" s="24"/>
      <c r="I26" s="24"/>
      <c r="J26" s="24"/>
      <c r="K26" s="25"/>
    </row>
    <row r="27" spans="1:11" ht="13.5" customHeight="1" x14ac:dyDescent="0.2">
      <c r="A27" s="71" t="s">
        <v>77</v>
      </c>
      <c r="B27" s="96">
        <v>0.32115570068602967</v>
      </c>
      <c r="C27" s="96">
        <v>0.16614580752760538</v>
      </c>
      <c r="D27" s="96">
        <v>8.6221613366998101E-2</v>
      </c>
      <c r="G27" s="34"/>
      <c r="H27" s="24"/>
      <c r="I27" s="24"/>
      <c r="J27" s="24"/>
      <c r="K27" s="25"/>
    </row>
    <row r="28" spans="1:11" ht="13.5" customHeight="1" x14ac:dyDescent="0.2">
      <c r="G28" s="24"/>
      <c r="H28" s="24"/>
      <c r="I28" s="24"/>
      <c r="J28" s="24"/>
      <c r="K28" s="25"/>
    </row>
    <row r="29" spans="1:11" ht="13.5" customHeight="1" x14ac:dyDescent="0.2">
      <c r="G29" s="23"/>
      <c r="H29" s="24"/>
      <c r="I29" s="24"/>
      <c r="J29" s="24"/>
      <c r="K29" s="25"/>
    </row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14"/>
  <sheetViews>
    <sheetView zoomScaleNormal="100" workbookViewId="0">
      <selection activeCell="A3" sqref="A3"/>
    </sheetView>
  </sheetViews>
  <sheetFormatPr defaultRowHeight="13.5" customHeight="1" x14ac:dyDescent="0.2"/>
  <cols>
    <col min="1" max="1" width="23.25" style="2" customWidth="1"/>
    <col min="2" max="4" width="14.125" style="2" customWidth="1"/>
    <col min="5" max="6" width="9" style="2"/>
    <col min="7" max="9" width="13.125" style="2" customWidth="1"/>
    <col min="10" max="11" width="9" style="2"/>
    <col min="12" max="12" width="21.25" style="2" customWidth="1"/>
    <col min="13" max="13" width="9.875" style="2" customWidth="1"/>
    <col min="14" max="14" width="9.5" style="2" customWidth="1"/>
    <col min="15" max="15" width="9.375" style="2" customWidth="1"/>
    <col min="16" max="16384" width="9" style="2"/>
  </cols>
  <sheetData>
    <row r="1" spans="1:15" ht="13.5" customHeight="1" x14ac:dyDescent="0.2">
      <c r="A1" s="16" t="s">
        <v>148</v>
      </c>
      <c r="B1" s="3"/>
      <c r="F1" s="149" t="s">
        <v>153</v>
      </c>
    </row>
    <row r="2" spans="1:15" ht="13.5" customHeight="1" x14ac:dyDescent="0.2">
      <c r="A2" s="34" t="s">
        <v>92</v>
      </c>
      <c r="B2" s="3"/>
    </row>
    <row r="3" spans="1:15" ht="13.5" customHeight="1" x14ac:dyDescent="0.2">
      <c r="B3" s="3"/>
    </row>
    <row r="4" spans="1:15" ht="13.5" customHeight="1" x14ac:dyDescent="0.2">
      <c r="A4" s="179" t="s">
        <v>29</v>
      </c>
      <c r="B4" s="179" t="s">
        <v>86</v>
      </c>
      <c r="C4" s="179"/>
      <c r="D4" s="179"/>
      <c r="L4" s="2" t="s">
        <v>150</v>
      </c>
    </row>
    <row r="5" spans="1:15" ht="36" customHeight="1" x14ac:dyDescent="0.2">
      <c r="A5" s="179"/>
      <c r="B5" s="35" t="s">
        <v>80</v>
      </c>
      <c r="C5" s="36" t="s">
        <v>81</v>
      </c>
      <c r="D5" s="36" t="s">
        <v>78</v>
      </c>
      <c r="L5" s="102" t="s">
        <v>124</v>
      </c>
      <c r="M5" s="36" t="s">
        <v>78</v>
      </c>
      <c r="N5" s="36" t="s">
        <v>81</v>
      </c>
      <c r="O5" s="36" t="s">
        <v>80</v>
      </c>
    </row>
    <row r="6" spans="1:15" ht="13.5" customHeight="1" x14ac:dyDescent="0.2">
      <c r="A6" s="77" t="s">
        <v>14</v>
      </c>
      <c r="B6" s="78">
        <v>1482399462.3700001</v>
      </c>
      <c r="C6" s="78">
        <v>2977445906.0099993</v>
      </c>
      <c r="D6" s="78">
        <v>1635749620.6200016</v>
      </c>
      <c r="L6" s="49" t="s">
        <v>64</v>
      </c>
      <c r="M6" s="93">
        <v>0.52094593951182644</v>
      </c>
      <c r="N6" s="93">
        <v>0.758618672242106</v>
      </c>
      <c r="O6" s="93">
        <v>0.75893925017438524</v>
      </c>
    </row>
    <row r="7" spans="1:15" ht="13.5" customHeight="1" x14ac:dyDescent="0.2">
      <c r="A7" s="70" t="s">
        <v>64</v>
      </c>
      <c r="B7" s="79">
        <v>1125051136.4299998</v>
      </c>
      <c r="C7" s="79">
        <v>2258746059.8899999</v>
      </c>
      <c r="D7" s="79">
        <v>852137122.92000031</v>
      </c>
      <c r="L7" s="50" t="s">
        <v>66</v>
      </c>
      <c r="M7" s="94">
        <v>0.42155932263559526</v>
      </c>
      <c r="N7" s="94">
        <v>4.917100536217376E-2</v>
      </c>
      <c r="O7" s="94">
        <v>0.14214468012766074</v>
      </c>
    </row>
    <row r="8" spans="1:15" ht="13.5" customHeight="1" x14ac:dyDescent="0.2">
      <c r="A8" s="70" t="s">
        <v>66</v>
      </c>
      <c r="B8" s="79">
        <v>210715197.39999989</v>
      </c>
      <c r="C8" s="79">
        <v>146404008.60999998</v>
      </c>
      <c r="D8" s="79">
        <v>689565502.06999981</v>
      </c>
      <c r="L8" s="50" t="s">
        <v>79</v>
      </c>
      <c r="M8" s="94">
        <v>4.2092939611321633E-5</v>
      </c>
      <c r="N8" s="94">
        <v>6.8598917947668026E-3</v>
      </c>
      <c r="O8" s="94">
        <v>7.9856962313477181E-4</v>
      </c>
    </row>
    <row r="9" spans="1:15" ht="13.5" customHeight="1" x14ac:dyDescent="0.2">
      <c r="A9" s="70" t="s">
        <v>67</v>
      </c>
      <c r="B9" s="79">
        <v>1183799.18</v>
      </c>
      <c r="C9" s="79">
        <v>20424956.740000002</v>
      </c>
      <c r="D9" s="79">
        <v>68853.509999999995</v>
      </c>
      <c r="G9" s="33"/>
      <c r="H9" s="33"/>
      <c r="L9" s="51" t="s">
        <v>33</v>
      </c>
      <c r="M9" s="96">
        <v>5.7452644912966151E-2</v>
      </c>
      <c r="N9" s="96">
        <v>0.18535043060095363</v>
      </c>
      <c r="O9" s="96">
        <v>9.8117500074818953E-2</v>
      </c>
    </row>
    <row r="10" spans="1:15" ht="13.5" customHeight="1" x14ac:dyDescent="0.2">
      <c r="A10" s="80" t="s">
        <v>69</v>
      </c>
      <c r="B10" s="81">
        <v>145449329.3600001</v>
      </c>
      <c r="C10" s="81">
        <v>551870880.76999986</v>
      </c>
      <c r="D10" s="81">
        <v>93978142.120000049</v>
      </c>
      <c r="G10" s="33"/>
      <c r="H10" s="33"/>
    </row>
    <row r="11" spans="1:15" ht="13.5" customHeight="1" x14ac:dyDescent="0.2">
      <c r="A11" s="46" t="s">
        <v>87</v>
      </c>
      <c r="B11" s="48"/>
      <c r="C11" s="48"/>
      <c r="D11" s="48"/>
      <c r="G11" s="33"/>
      <c r="H11" s="33"/>
    </row>
    <row r="12" spans="1:15" ht="13.5" customHeight="1" x14ac:dyDescent="0.2">
      <c r="A12" s="100" t="s">
        <v>64</v>
      </c>
      <c r="B12" s="93">
        <v>0.75893925017438524</v>
      </c>
      <c r="C12" s="93">
        <v>0.758618672242106</v>
      </c>
      <c r="D12" s="93">
        <v>0.52094593951182644</v>
      </c>
      <c r="G12" s="33"/>
      <c r="H12" s="33"/>
    </row>
    <row r="13" spans="1:15" ht="13.5" customHeight="1" x14ac:dyDescent="0.2">
      <c r="A13" s="98" t="s">
        <v>66</v>
      </c>
      <c r="B13" s="94">
        <v>0.14214468012766074</v>
      </c>
      <c r="C13" s="94">
        <v>4.917100536217376E-2</v>
      </c>
      <c r="D13" s="94">
        <v>0.42155932263559526</v>
      </c>
      <c r="G13" s="32"/>
      <c r="H13" s="32"/>
    </row>
    <row r="14" spans="1:15" ht="13.5" customHeight="1" x14ac:dyDescent="0.2">
      <c r="A14" s="98" t="s">
        <v>79</v>
      </c>
      <c r="B14" s="94">
        <v>7.9856962313477181E-4</v>
      </c>
      <c r="C14" s="94">
        <v>6.8598917947668026E-3</v>
      </c>
      <c r="D14" s="94">
        <v>4.2092939611321633E-5</v>
      </c>
      <c r="G14" s="32"/>
      <c r="H14" s="32"/>
    </row>
    <row r="15" spans="1:15" ht="13.5" customHeight="1" x14ac:dyDescent="0.2">
      <c r="A15" s="101" t="s">
        <v>33</v>
      </c>
      <c r="B15" s="96">
        <v>9.8117500074818953E-2</v>
      </c>
      <c r="C15" s="96">
        <v>0.18535043060095363</v>
      </c>
      <c r="D15" s="96">
        <v>5.7452644912966151E-2</v>
      </c>
    </row>
    <row r="17" spans="1:5" ht="13.5" customHeight="1" x14ac:dyDescent="0.2">
      <c r="A17" s="32"/>
      <c r="B17" s="120"/>
      <c r="C17" s="120"/>
      <c r="D17" s="120"/>
      <c r="E17" s="32"/>
    </row>
    <row r="18" spans="1:5" ht="13.5" customHeight="1" x14ac:dyDescent="0.2">
      <c r="A18" s="32"/>
      <c r="B18" s="121"/>
      <c r="C18" s="121"/>
      <c r="D18" s="121"/>
      <c r="E18" s="32"/>
    </row>
    <row r="19" spans="1:5" ht="13.5" customHeight="1" x14ac:dyDescent="0.2">
      <c r="A19" s="32"/>
      <c r="B19" s="121"/>
      <c r="C19" s="121"/>
      <c r="D19" s="121"/>
      <c r="E19" s="32"/>
    </row>
    <row r="20" spans="1:5" ht="13.5" customHeight="1" x14ac:dyDescent="0.2">
      <c r="A20" s="32"/>
      <c r="B20" s="121"/>
      <c r="C20" s="121"/>
      <c r="D20" s="121"/>
      <c r="E20" s="32"/>
    </row>
    <row r="21" spans="1:5" ht="13.5" customHeight="1" x14ac:dyDescent="0.2">
      <c r="A21" s="32"/>
      <c r="B21" s="121"/>
      <c r="C21" s="121"/>
      <c r="D21" s="121"/>
      <c r="E21" s="32"/>
    </row>
    <row r="22" spans="1:5" ht="13.5" customHeight="1" x14ac:dyDescent="0.2">
      <c r="A22" s="32"/>
      <c r="B22" s="32"/>
      <c r="C22" s="32"/>
      <c r="D22" s="32"/>
      <c r="E22" s="32"/>
    </row>
    <row r="23" spans="1:5" ht="13.5" customHeight="1" x14ac:dyDescent="0.2">
      <c r="A23" s="32"/>
      <c r="B23" s="122"/>
      <c r="C23" s="122"/>
      <c r="D23" s="122"/>
      <c r="E23" s="32"/>
    </row>
    <row r="24" spans="1:5" ht="13.5" customHeight="1" x14ac:dyDescent="0.2">
      <c r="A24" s="32"/>
      <c r="B24" s="122"/>
      <c r="C24" s="122"/>
      <c r="D24" s="122"/>
      <c r="E24" s="32"/>
    </row>
    <row r="25" spans="1:5" ht="13.5" customHeight="1" x14ac:dyDescent="0.2">
      <c r="A25" s="32"/>
      <c r="B25" s="122"/>
      <c r="C25" s="122"/>
      <c r="D25" s="122"/>
      <c r="E25" s="32"/>
    </row>
    <row r="26" spans="1:5" ht="13.5" customHeight="1" x14ac:dyDescent="0.2">
      <c r="A26" s="32"/>
      <c r="B26" s="122"/>
      <c r="C26" s="122"/>
      <c r="D26" s="122"/>
      <c r="E26" s="32"/>
    </row>
    <row r="27" spans="1:5" ht="13.5" customHeight="1" x14ac:dyDescent="0.2">
      <c r="A27" s="32"/>
      <c r="B27" s="32"/>
      <c r="C27" s="32"/>
      <c r="D27" s="32"/>
      <c r="E27" s="32"/>
    </row>
    <row r="28" spans="1:5" ht="13.5" customHeight="1" x14ac:dyDescent="0.2">
      <c r="A28" s="32"/>
      <c r="B28" s="123"/>
      <c r="C28" s="123"/>
      <c r="D28" s="123"/>
      <c r="E28" s="32"/>
    </row>
    <row r="29" spans="1:5" ht="13.5" customHeight="1" x14ac:dyDescent="0.2">
      <c r="A29" s="32"/>
      <c r="B29" s="123"/>
      <c r="C29" s="123"/>
      <c r="D29" s="123"/>
      <c r="E29" s="32"/>
    </row>
    <row r="30" spans="1:5" ht="13.5" customHeight="1" x14ac:dyDescent="0.2">
      <c r="A30" s="32"/>
      <c r="B30" s="123"/>
      <c r="C30" s="123"/>
      <c r="D30" s="123"/>
      <c r="E30" s="32"/>
    </row>
    <row r="31" spans="1:5" ht="13.5" customHeight="1" x14ac:dyDescent="0.2">
      <c r="A31" s="32"/>
      <c r="B31" s="123"/>
      <c r="C31" s="123"/>
      <c r="D31" s="123"/>
      <c r="E31" s="32"/>
    </row>
    <row r="32" spans="1:5" ht="13.5" customHeight="1" x14ac:dyDescent="0.2">
      <c r="B32" s="119"/>
      <c r="C32" s="119"/>
      <c r="D32" s="119"/>
    </row>
    <row r="33" spans="2:4" ht="13.5" customHeight="1" x14ac:dyDescent="0.2">
      <c r="B33" s="119"/>
      <c r="C33" s="119"/>
      <c r="D33" s="119"/>
    </row>
    <row r="34" spans="2:4" ht="13.5" customHeight="1" x14ac:dyDescent="0.2">
      <c r="B34" s="119"/>
      <c r="C34" s="119"/>
      <c r="D34" s="119"/>
    </row>
    <row r="35" spans="2:4" ht="13.5" customHeight="1" x14ac:dyDescent="0.2">
      <c r="B35" s="119"/>
      <c r="C35" s="119"/>
      <c r="D35" s="119"/>
    </row>
    <row r="36" spans="2:4" ht="13.5" customHeight="1" x14ac:dyDescent="0.2">
      <c r="B36" s="119"/>
      <c r="C36" s="119"/>
      <c r="D36" s="119"/>
    </row>
    <row r="37" spans="2:4" ht="13.5" customHeight="1" x14ac:dyDescent="0.2">
      <c r="B37" s="119"/>
      <c r="C37" s="119"/>
      <c r="D37" s="119"/>
    </row>
    <row r="76" spans="7:9" ht="13.5" customHeight="1" x14ac:dyDescent="0.2">
      <c r="G76" s="20"/>
      <c r="H76" s="21"/>
      <c r="I76" s="20"/>
    </row>
    <row r="77" spans="7:9" ht="13.5" customHeight="1" x14ac:dyDescent="0.2">
      <c r="G77" s="15"/>
      <c r="H77" s="22"/>
      <c r="I77" s="15"/>
    </row>
    <row r="78" spans="7:9" ht="13.5" customHeight="1" x14ac:dyDescent="0.2">
      <c r="G78" s="15"/>
      <c r="H78" s="22"/>
      <c r="I78" s="15"/>
    </row>
    <row r="79" spans="7:9" ht="13.5" customHeight="1" x14ac:dyDescent="0.2">
      <c r="G79" s="15"/>
      <c r="H79" s="22"/>
      <c r="I79" s="15"/>
    </row>
    <row r="80" spans="7:9" ht="13.5" customHeight="1" x14ac:dyDescent="0.2">
      <c r="G80" s="15"/>
      <c r="H80" s="22"/>
      <c r="I80" s="15"/>
    </row>
    <row r="81" spans="7:9" ht="13.5" customHeight="1" x14ac:dyDescent="0.2">
      <c r="G81" s="15"/>
      <c r="H81" s="22"/>
      <c r="I81" s="15"/>
    </row>
    <row r="82" spans="7:9" ht="13.5" customHeight="1" x14ac:dyDescent="0.2">
      <c r="G82" s="15"/>
      <c r="H82" s="22"/>
      <c r="I82" s="15"/>
    </row>
    <row r="83" spans="7:9" ht="13.5" customHeight="1" x14ac:dyDescent="0.2">
      <c r="G83" s="15"/>
      <c r="H83" s="22"/>
      <c r="I83" s="15"/>
    </row>
    <row r="84" spans="7:9" ht="13.5" customHeight="1" x14ac:dyDescent="0.2">
      <c r="G84" s="15"/>
      <c r="H84" s="22"/>
      <c r="I84" s="15"/>
    </row>
    <row r="85" spans="7:9" ht="13.5" customHeight="1" x14ac:dyDescent="0.2">
      <c r="G85" s="15"/>
      <c r="H85" s="22"/>
      <c r="I85" s="15"/>
    </row>
    <row r="114" ht="38.25" customHeight="1" x14ac:dyDescent="0.2"/>
  </sheetData>
  <mergeCells count="2">
    <mergeCell ref="A4:A5"/>
    <mergeCell ref="B4:D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03"/>
  <sheetViews>
    <sheetView zoomScaleNormal="100" workbookViewId="0">
      <selection activeCell="A3" sqref="A3"/>
    </sheetView>
  </sheetViews>
  <sheetFormatPr defaultRowHeight="13.5" customHeight="1" x14ac:dyDescent="0.2"/>
  <cols>
    <col min="1" max="1" width="19.625" style="2" customWidth="1"/>
    <col min="2" max="5" width="14.375" style="2" customWidth="1"/>
    <col min="6" max="8" width="13.5" style="2" customWidth="1"/>
    <col min="9" max="9" width="13.375" style="2" customWidth="1"/>
    <col min="10" max="13" width="9" style="2"/>
    <col min="14" max="14" width="20.5" style="2" customWidth="1"/>
    <col min="15" max="17" width="10" style="2" customWidth="1"/>
    <col min="18" max="18" width="12" style="2" customWidth="1"/>
    <col min="19" max="16384" width="9" style="2"/>
  </cols>
  <sheetData>
    <row r="1" spans="1:18" ht="13.5" customHeight="1" x14ac:dyDescent="0.2">
      <c r="A1" s="16" t="s">
        <v>148</v>
      </c>
      <c r="C1" s="3"/>
      <c r="F1" s="149" t="s">
        <v>153</v>
      </c>
    </row>
    <row r="2" spans="1:18" ht="13.5" customHeight="1" x14ac:dyDescent="0.2">
      <c r="A2" s="34" t="s">
        <v>93</v>
      </c>
      <c r="C2" s="3"/>
    </row>
    <row r="3" spans="1:18" ht="13.5" customHeight="1" x14ac:dyDescent="0.2">
      <c r="C3" s="3"/>
    </row>
    <row r="4" spans="1:18" ht="13.5" customHeight="1" x14ac:dyDescent="0.2">
      <c r="A4" s="179" t="s">
        <v>29</v>
      </c>
      <c r="B4" s="179" t="s">
        <v>48</v>
      </c>
      <c r="C4" s="179"/>
      <c r="D4" s="179"/>
      <c r="E4" s="179"/>
      <c r="N4" s="2" t="s">
        <v>125</v>
      </c>
    </row>
    <row r="5" spans="1:18" ht="53.25" customHeight="1" x14ac:dyDescent="0.2">
      <c r="A5" s="180"/>
      <c r="B5" s="36" t="s">
        <v>82</v>
      </c>
      <c r="C5" s="36" t="s">
        <v>83</v>
      </c>
      <c r="D5" s="36" t="s">
        <v>26</v>
      </c>
      <c r="E5" s="36" t="s">
        <v>84</v>
      </c>
      <c r="N5" s="52" t="s">
        <v>61</v>
      </c>
      <c r="O5" s="36" t="s">
        <v>84</v>
      </c>
      <c r="P5" s="36" t="s">
        <v>26</v>
      </c>
      <c r="Q5" s="36" t="s">
        <v>83</v>
      </c>
      <c r="R5" s="36" t="s">
        <v>82</v>
      </c>
    </row>
    <row r="6" spans="1:18" ht="13.5" customHeight="1" x14ac:dyDescent="0.2">
      <c r="A6" s="83" t="s">
        <v>12</v>
      </c>
      <c r="B6" s="67">
        <v>1328814195.2999997</v>
      </c>
      <c r="C6" s="67">
        <v>1288333368.5200002</v>
      </c>
      <c r="D6" s="67">
        <v>23056965.580000002</v>
      </c>
      <c r="E6" s="67">
        <v>158447391.40000001</v>
      </c>
      <c r="N6" s="89" t="s">
        <v>62</v>
      </c>
      <c r="O6" s="74">
        <v>0.39063010254140412</v>
      </c>
      <c r="P6" s="74">
        <v>0.70712455650029193</v>
      </c>
      <c r="Q6" s="74">
        <v>0.51572947035694605</v>
      </c>
      <c r="R6" s="74">
        <v>0.53431122847818968</v>
      </c>
    </row>
    <row r="7" spans="1:18" ht="13.5" customHeight="1" x14ac:dyDescent="0.2">
      <c r="A7" s="84" t="s">
        <v>62</v>
      </c>
      <c r="B7" s="69">
        <v>710000345.1099999</v>
      </c>
      <c r="C7" s="69">
        <v>664431485.78999996</v>
      </c>
      <c r="D7" s="69">
        <v>16304146.559999999</v>
      </c>
      <c r="E7" s="69">
        <v>61894320.75</v>
      </c>
      <c r="N7" s="85" t="s">
        <v>63</v>
      </c>
      <c r="O7" s="75">
        <v>7.4048011749090863E-3</v>
      </c>
      <c r="P7" s="75">
        <v>3.1515196892617295E-2</v>
      </c>
      <c r="Q7" s="75">
        <v>0.11406473463371966</v>
      </c>
      <c r="R7" s="75">
        <v>9.4919732311803076E-2</v>
      </c>
    </row>
    <row r="8" spans="1:18" ht="13.5" customHeight="1" x14ac:dyDescent="0.2">
      <c r="A8" s="85" t="s">
        <v>63</v>
      </c>
      <c r="B8" s="69">
        <v>126130687.70999998</v>
      </c>
      <c r="C8" s="69">
        <v>146953403.79999998</v>
      </c>
      <c r="D8" s="69">
        <v>726644.80999999994</v>
      </c>
      <c r="E8" s="69">
        <v>1173271.43</v>
      </c>
      <c r="N8" s="85" t="s">
        <v>18</v>
      </c>
      <c r="O8" s="75">
        <v>4.2214174944125967E-3</v>
      </c>
      <c r="P8" s="75">
        <v>7.9993258158821429E-3</v>
      </c>
      <c r="Q8" s="75">
        <v>0.12458070364534564</v>
      </c>
      <c r="R8" s="75">
        <v>0.12946493068668691</v>
      </c>
    </row>
    <row r="9" spans="1:18" ht="13.5" customHeight="1" x14ac:dyDescent="0.2">
      <c r="A9" s="85" t="s">
        <v>18</v>
      </c>
      <c r="B9" s="69">
        <v>172034837.69000009</v>
      </c>
      <c r="C9" s="69">
        <v>160501477.58000001</v>
      </c>
      <c r="D9" s="69">
        <v>184440.18000000002</v>
      </c>
      <c r="E9" s="69">
        <v>668872.59000000008</v>
      </c>
      <c r="N9" s="86" t="s">
        <v>65</v>
      </c>
      <c r="O9" s="75">
        <v>8.5904525658224255E-4</v>
      </c>
      <c r="P9" s="75">
        <v>0</v>
      </c>
      <c r="Q9" s="75">
        <v>2.1293806145465929E-4</v>
      </c>
      <c r="R9" s="75">
        <v>6.3583018828998223E-4</v>
      </c>
    </row>
    <row r="10" spans="1:18" ht="13.5" customHeight="1" x14ac:dyDescent="0.2">
      <c r="A10" s="86" t="s">
        <v>65</v>
      </c>
      <c r="B10" s="69">
        <v>844900.18</v>
      </c>
      <c r="C10" s="69">
        <v>274335.21000000002</v>
      </c>
      <c r="D10" s="87" t="s">
        <v>56</v>
      </c>
      <c r="E10" s="69">
        <v>136113.48000000001</v>
      </c>
      <c r="N10" s="86" t="s">
        <v>28</v>
      </c>
      <c r="O10" s="75">
        <v>0</v>
      </c>
      <c r="P10" s="75">
        <v>4.9234579288468536E-5</v>
      </c>
      <c r="Q10" s="75">
        <v>1.613771757218694E-2</v>
      </c>
      <c r="R10" s="75">
        <v>9.6353386766081291E-3</v>
      </c>
    </row>
    <row r="11" spans="1:18" ht="13.5" customHeight="1" x14ac:dyDescent="0.2">
      <c r="A11" s="86" t="s">
        <v>28</v>
      </c>
      <c r="B11" s="69">
        <v>12803574.809999995</v>
      </c>
      <c r="C11" s="69">
        <v>20790760.039999999</v>
      </c>
      <c r="D11" s="69">
        <v>1135.2</v>
      </c>
      <c r="E11" s="87" t="s">
        <v>56</v>
      </c>
      <c r="N11" s="86" t="s">
        <v>68</v>
      </c>
      <c r="O11" s="75">
        <v>5.8091809077268276E-2</v>
      </c>
      <c r="P11" s="75">
        <v>3.7419688076751681E-2</v>
      </c>
      <c r="Q11" s="75">
        <v>3.3404782350269384E-2</v>
      </c>
      <c r="R11" s="75">
        <v>2.948578509966495E-2</v>
      </c>
    </row>
    <row r="12" spans="1:18" ht="13.5" customHeight="1" x14ac:dyDescent="0.2">
      <c r="A12" s="86" t="s">
        <v>68</v>
      </c>
      <c r="B12" s="69">
        <v>39181129.800000004</v>
      </c>
      <c r="C12" s="69">
        <v>43036495.770000003</v>
      </c>
      <c r="D12" s="69">
        <v>862784.46</v>
      </c>
      <c r="E12" s="69">
        <v>9204495.6099999994</v>
      </c>
      <c r="F12" s="24"/>
      <c r="G12" s="24"/>
      <c r="H12" s="24"/>
      <c r="N12" s="86" t="s">
        <v>70</v>
      </c>
      <c r="O12" s="75">
        <v>7.5329361970171246E-2</v>
      </c>
      <c r="P12" s="75">
        <v>4.4750976724145325E-2</v>
      </c>
      <c r="Q12" s="75">
        <v>8.8691473800188349E-3</v>
      </c>
      <c r="R12" s="75">
        <v>9.3070238741752003E-3</v>
      </c>
    </row>
    <row r="13" spans="1:18" ht="13.5" customHeight="1" x14ac:dyDescent="0.2">
      <c r="A13" s="86" t="s">
        <v>70</v>
      </c>
      <c r="B13" s="69">
        <v>12367305.440000005</v>
      </c>
      <c r="C13" s="69">
        <v>11426418.52</v>
      </c>
      <c r="D13" s="69">
        <v>1031821.73</v>
      </c>
      <c r="E13" s="69">
        <v>11935740.899999999</v>
      </c>
      <c r="F13" s="34"/>
      <c r="G13" s="24"/>
      <c r="H13" s="24"/>
      <c r="N13" s="86" t="s">
        <v>152</v>
      </c>
      <c r="O13" s="75">
        <v>5.7781245176119697E-2</v>
      </c>
      <c r="P13" s="75">
        <v>3.0348556819938664E-2</v>
      </c>
      <c r="Q13" s="75">
        <v>1.9570894658239673E-2</v>
      </c>
      <c r="R13" s="75">
        <v>2.1106890691868281E-2</v>
      </c>
    </row>
    <row r="14" spans="1:18" ht="13.5" customHeight="1" x14ac:dyDescent="0.2">
      <c r="A14" s="86" t="s">
        <v>152</v>
      </c>
      <c r="B14" s="69">
        <v>28047135.970000003</v>
      </c>
      <c r="C14" s="69">
        <v>25213836.639999997</v>
      </c>
      <c r="D14" s="69">
        <v>699745.63000000012</v>
      </c>
      <c r="E14" s="69">
        <v>9155287.5700000003</v>
      </c>
      <c r="F14" s="26"/>
      <c r="G14" s="24"/>
      <c r="H14" s="24"/>
      <c r="N14" s="86" t="s">
        <v>71</v>
      </c>
      <c r="O14" s="75">
        <v>2.2823283539396912E-2</v>
      </c>
      <c r="P14" s="75">
        <v>1.8568877527031461E-2</v>
      </c>
      <c r="Q14" s="75">
        <v>1.6911288733465549E-2</v>
      </c>
      <c r="R14" s="75">
        <v>1.4914709106885776E-2</v>
      </c>
    </row>
    <row r="15" spans="1:18" ht="13.5" customHeight="1" x14ac:dyDescent="0.2">
      <c r="A15" s="86" t="s">
        <v>71</v>
      </c>
      <c r="B15" s="69">
        <v>19818877.18</v>
      </c>
      <c r="C15" s="69">
        <v>21787377.579999998</v>
      </c>
      <c r="D15" s="69">
        <v>428141.97</v>
      </c>
      <c r="E15" s="69">
        <v>3616289.7399999998</v>
      </c>
      <c r="F15" s="24"/>
      <c r="G15" s="24"/>
      <c r="H15" s="24"/>
      <c r="N15" s="88" t="s">
        <v>72</v>
      </c>
      <c r="O15" s="76">
        <v>0.3828589337697359</v>
      </c>
      <c r="P15" s="76">
        <v>0.12222358706405313</v>
      </c>
      <c r="Q15" s="76">
        <v>0.15051832260835368</v>
      </c>
      <c r="R15" s="76">
        <v>0.15621853088582813</v>
      </c>
    </row>
    <row r="16" spans="1:18" ht="13.5" customHeight="1" x14ac:dyDescent="0.2">
      <c r="A16" s="88" t="s">
        <v>72</v>
      </c>
      <c r="B16" s="73">
        <v>207585401.40999985</v>
      </c>
      <c r="C16" s="73">
        <v>193917777.59000039</v>
      </c>
      <c r="D16" s="73">
        <v>2818105.0400000066</v>
      </c>
      <c r="E16" s="73">
        <v>60662999.330000028</v>
      </c>
      <c r="F16" s="24"/>
      <c r="G16" s="24"/>
      <c r="H16" s="24"/>
    </row>
    <row r="17" spans="1:8" ht="13.5" customHeight="1" x14ac:dyDescent="0.2">
      <c r="A17" s="46" t="s">
        <v>87</v>
      </c>
      <c r="B17" s="48"/>
      <c r="C17" s="48"/>
      <c r="D17" s="48"/>
      <c r="E17" s="48"/>
      <c r="F17" s="24"/>
      <c r="G17" s="24"/>
      <c r="H17" s="24"/>
    </row>
    <row r="18" spans="1:8" ht="13.5" customHeight="1" x14ac:dyDescent="0.2">
      <c r="A18" s="89" t="s">
        <v>62</v>
      </c>
      <c r="B18" s="74">
        <v>0.53431122847818968</v>
      </c>
      <c r="C18" s="74">
        <v>0.51572947035694605</v>
      </c>
      <c r="D18" s="74">
        <v>0.70712455650029193</v>
      </c>
      <c r="E18" s="74">
        <v>0.39063010254140412</v>
      </c>
      <c r="F18" s="24"/>
      <c r="G18" s="24"/>
      <c r="H18" s="24"/>
    </row>
    <row r="19" spans="1:8" ht="13.5" customHeight="1" x14ac:dyDescent="0.2">
      <c r="A19" s="85" t="s">
        <v>63</v>
      </c>
      <c r="B19" s="75">
        <v>9.4919732311803076E-2</v>
      </c>
      <c r="C19" s="75">
        <v>0.11406473463371966</v>
      </c>
      <c r="D19" s="75">
        <v>3.1515196892617295E-2</v>
      </c>
      <c r="E19" s="75">
        <v>7.4048011749090863E-3</v>
      </c>
      <c r="F19" s="24"/>
      <c r="G19" s="24"/>
      <c r="H19" s="24"/>
    </row>
    <row r="20" spans="1:8" ht="13.5" customHeight="1" x14ac:dyDescent="0.2">
      <c r="A20" s="85" t="s">
        <v>18</v>
      </c>
      <c r="B20" s="75">
        <v>0.12946493068668691</v>
      </c>
      <c r="C20" s="75">
        <v>0.12458070364534564</v>
      </c>
      <c r="D20" s="75">
        <v>7.9993258158821429E-3</v>
      </c>
      <c r="E20" s="75">
        <v>4.2214174944125967E-3</v>
      </c>
      <c r="F20" s="24"/>
      <c r="G20" s="24"/>
      <c r="H20" s="24"/>
    </row>
    <row r="21" spans="1:8" ht="13.5" customHeight="1" x14ac:dyDescent="0.2">
      <c r="A21" s="86" t="s">
        <v>65</v>
      </c>
      <c r="B21" s="75">
        <v>6.3583018828998223E-4</v>
      </c>
      <c r="C21" s="75">
        <v>2.1293806145465929E-4</v>
      </c>
      <c r="D21" s="75">
        <v>0</v>
      </c>
      <c r="E21" s="75">
        <v>8.5904525658224255E-4</v>
      </c>
      <c r="F21" s="24"/>
      <c r="G21" s="24"/>
    </row>
    <row r="22" spans="1:8" ht="13.5" customHeight="1" x14ac:dyDescent="0.2">
      <c r="A22" s="86" t="s">
        <v>28</v>
      </c>
      <c r="B22" s="75">
        <v>9.6353386766081291E-3</v>
      </c>
      <c r="C22" s="75">
        <v>1.613771757218694E-2</v>
      </c>
      <c r="D22" s="75">
        <v>4.9234579288468536E-5</v>
      </c>
      <c r="E22" s="75">
        <v>0</v>
      </c>
      <c r="F22" s="24"/>
      <c r="G22" s="2" t="s">
        <v>73</v>
      </c>
      <c r="H22" s="24"/>
    </row>
    <row r="23" spans="1:8" ht="13.5" customHeight="1" x14ac:dyDescent="0.2">
      <c r="A23" s="86" t="s">
        <v>68</v>
      </c>
      <c r="B23" s="75">
        <v>2.948578509966495E-2</v>
      </c>
      <c r="C23" s="75">
        <v>3.3404782350269384E-2</v>
      </c>
      <c r="D23" s="75">
        <v>3.7419688076751681E-2</v>
      </c>
      <c r="E23" s="75">
        <v>5.8091809077268276E-2</v>
      </c>
      <c r="F23" s="24"/>
      <c r="G23" s="24"/>
      <c r="H23" s="24"/>
    </row>
    <row r="24" spans="1:8" ht="13.5" customHeight="1" x14ac:dyDescent="0.2">
      <c r="A24" s="86" t="s">
        <v>70</v>
      </c>
      <c r="B24" s="75">
        <v>9.3070238741752003E-3</v>
      </c>
      <c r="C24" s="75">
        <v>8.8691473800188349E-3</v>
      </c>
      <c r="D24" s="75">
        <v>4.4750976724145325E-2</v>
      </c>
      <c r="E24" s="75">
        <v>7.5329361970171246E-2</v>
      </c>
      <c r="F24" s="24"/>
      <c r="G24" s="24"/>
      <c r="H24" s="24"/>
    </row>
    <row r="25" spans="1:8" ht="13.5" customHeight="1" x14ac:dyDescent="0.2">
      <c r="A25" s="86" t="s">
        <v>152</v>
      </c>
      <c r="B25" s="75">
        <v>2.1106890691868281E-2</v>
      </c>
      <c r="C25" s="75">
        <v>1.9570894658239673E-2</v>
      </c>
      <c r="D25" s="75">
        <v>3.0348556819938664E-2</v>
      </c>
      <c r="E25" s="75">
        <v>5.7781245176119697E-2</v>
      </c>
      <c r="F25" s="24"/>
      <c r="G25" s="24"/>
      <c r="H25" s="24"/>
    </row>
    <row r="26" spans="1:8" ht="13.5" customHeight="1" x14ac:dyDescent="0.2">
      <c r="A26" s="86" t="s">
        <v>71</v>
      </c>
      <c r="B26" s="75">
        <v>1.4914709106885776E-2</v>
      </c>
      <c r="C26" s="75">
        <v>1.6911288733465549E-2</v>
      </c>
      <c r="D26" s="75">
        <v>1.8568877527031461E-2</v>
      </c>
      <c r="E26" s="75">
        <v>2.2823283539396912E-2</v>
      </c>
      <c r="F26" s="24"/>
      <c r="G26" s="24"/>
      <c r="H26" s="24"/>
    </row>
    <row r="27" spans="1:8" ht="13.5" customHeight="1" x14ac:dyDescent="0.2">
      <c r="A27" s="88" t="s">
        <v>72</v>
      </c>
      <c r="B27" s="76">
        <v>0.15621853088582813</v>
      </c>
      <c r="C27" s="76">
        <v>0.15051832260835368</v>
      </c>
      <c r="D27" s="76">
        <v>0.12222358706405313</v>
      </c>
      <c r="E27" s="76">
        <v>0.3828589337697359</v>
      </c>
      <c r="F27" s="24"/>
      <c r="G27" s="24"/>
      <c r="H27" s="24"/>
    </row>
    <row r="28" spans="1:8" ht="13.5" customHeight="1" x14ac:dyDescent="0.2">
      <c r="C28" s="3"/>
      <c r="D28" s="18"/>
      <c r="E28" s="18"/>
      <c r="F28" s="24"/>
      <c r="G28" s="24"/>
      <c r="H28" s="24"/>
    </row>
    <row r="29" spans="1:8" ht="13.5" customHeight="1" x14ac:dyDescent="0.2">
      <c r="A29" s="2" t="s">
        <v>73</v>
      </c>
      <c r="C29" s="3"/>
      <c r="D29" s="18"/>
      <c r="E29" s="18"/>
      <c r="F29" s="24"/>
      <c r="G29" s="24"/>
      <c r="H29" s="24"/>
    </row>
    <row r="30" spans="1:8" ht="13.5" customHeight="1" x14ac:dyDescent="0.2">
      <c r="E30" s="24"/>
      <c r="F30" s="24"/>
      <c r="G30" s="24"/>
      <c r="H30" s="24"/>
    </row>
    <row r="31" spans="1:8" ht="13.5" customHeight="1" x14ac:dyDescent="0.2">
      <c r="E31" s="24"/>
      <c r="F31" s="24"/>
      <c r="G31" s="24"/>
      <c r="H31" s="24"/>
    </row>
    <row r="32" spans="1:8" ht="13.5" customHeight="1" x14ac:dyDescent="0.2">
      <c r="E32" s="24"/>
      <c r="F32" s="24"/>
      <c r="G32" s="24"/>
      <c r="H32" s="24"/>
    </row>
    <row r="33" spans="5:8" ht="13.5" customHeight="1" x14ac:dyDescent="0.2">
      <c r="E33" s="24"/>
      <c r="F33" s="24"/>
      <c r="G33" s="24"/>
      <c r="H33" s="24"/>
    </row>
    <row r="34" spans="5:8" ht="13.5" customHeight="1" x14ac:dyDescent="0.2">
      <c r="E34" s="24"/>
      <c r="F34" s="24"/>
      <c r="G34" s="24"/>
      <c r="H34" s="24"/>
    </row>
    <row r="35" spans="5:8" ht="13.5" customHeight="1" x14ac:dyDescent="0.2">
      <c r="E35" s="24"/>
      <c r="F35" s="24"/>
      <c r="G35" s="24"/>
      <c r="H35" s="24"/>
    </row>
    <row r="36" spans="5:8" ht="13.5" customHeight="1" x14ac:dyDescent="0.2">
      <c r="E36" s="24"/>
      <c r="F36" s="24"/>
      <c r="G36" s="24"/>
      <c r="H36" s="24"/>
    </row>
    <row r="37" spans="5:8" ht="13.5" customHeight="1" x14ac:dyDescent="0.2">
      <c r="E37" s="24"/>
      <c r="G37" s="24"/>
      <c r="H37" s="24"/>
    </row>
    <row r="38" spans="5:8" ht="13.5" customHeight="1" x14ac:dyDescent="0.2">
      <c r="E38" s="24"/>
      <c r="F38" s="24"/>
      <c r="G38" s="24"/>
      <c r="H38" s="24"/>
    </row>
    <row r="39" spans="5:8" ht="13.5" customHeight="1" x14ac:dyDescent="0.2">
      <c r="E39" s="24"/>
    </row>
    <row r="40" spans="5:8" ht="13.5" customHeight="1" x14ac:dyDescent="0.2">
      <c r="E40" s="24"/>
    </row>
    <row r="44" spans="5:8" ht="13.5" customHeight="1" x14ac:dyDescent="0.2">
      <c r="F44" s="27"/>
    </row>
    <row r="52" spans="5:8" ht="13.5" customHeight="1" x14ac:dyDescent="0.2">
      <c r="F52" s="20">
        <v>23950580.520000003</v>
      </c>
      <c r="G52" s="20">
        <v>1155266463.1299999</v>
      </c>
      <c r="H52" s="20">
        <v>1223571760.0100002</v>
      </c>
    </row>
    <row r="53" spans="5:8" ht="13.5" customHeight="1" x14ac:dyDescent="0.2">
      <c r="F53" s="15">
        <v>15919621.67</v>
      </c>
      <c r="G53" s="15">
        <v>568187256.04999995</v>
      </c>
      <c r="H53" s="15">
        <v>628636341.5800004</v>
      </c>
    </row>
    <row r="54" spans="5:8" ht="13.5" customHeight="1" x14ac:dyDescent="0.2">
      <c r="E54" s="20">
        <v>124685270.09000002</v>
      </c>
      <c r="F54" s="15">
        <v>876424.28</v>
      </c>
      <c r="G54" s="15">
        <v>117844704.28</v>
      </c>
      <c r="H54" s="15">
        <v>109027134.55</v>
      </c>
    </row>
    <row r="55" spans="5:8" ht="13.5" customHeight="1" x14ac:dyDescent="0.2">
      <c r="E55" s="15">
        <v>50304542.560000002</v>
      </c>
      <c r="F55" s="15">
        <v>256026.88</v>
      </c>
      <c r="G55" s="15">
        <v>143434296.02999997</v>
      </c>
      <c r="H55" s="15">
        <v>165028018.41999999</v>
      </c>
    </row>
    <row r="56" spans="5:8" ht="13.5" customHeight="1" x14ac:dyDescent="0.2">
      <c r="E56" s="15">
        <v>1343170.13</v>
      </c>
      <c r="F56" s="15">
        <v>0</v>
      </c>
      <c r="G56" s="15">
        <v>142446.85</v>
      </c>
      <c r="H56" s="15">
        <v>1000796.62</v>
      </c>
    </row>
    <row r="57" spans="5:8" ht="13.5" customHeight="1" x14ac:dyDescent="0.2">
      <c r="E57" s="15">
        <v>604688.06000000006</v>
      </c>
      <c r="F57" s="15">
        <v>10144.040000000001</v>
      </c>
      <c r="G57" s="15">
        <v>17242801.710000001</v>
      </c>
      <c r="H57" s="15">
        <v>12278322.419999994</v>
      </c>
    </row>
    <row r="58" spans="5:8" ht="13.5" customHeight="1" x14ac:dyDescent="0.2">
      <c r="E58" s="15">
        <v>158956.14000000001</v>
      </c>
      <c r="F58" s="15">
        <v>815693.13000000012</v>
      </c>
      <c r="G58" s="15">
        <v>34938906.520000003</v>
      </c>
      <c r="H58" s="15">
        <v>41635092.290000014</v>
      </c>
    </row>
    <row r="59" spans="5:8" ht="13.5" customHeight="1" x14ac:dyDescent="0.2">
      <c r="E59" s="15">
        <v>0</v>
      </c>
      <c r="F59" s="15">
        <v>928662.6</v>
      </c>
      <c r="G59" s="15">
        <v>11158278.939999999</v>
      </c>
      <c r="H59" s="15">
        <v>11447313.239999995</v>
      </c>
    </row>
    <row r="60" spans="5:8" ht="13.5" customHeight="1" x14ac:dyDescent="0.2">
      <c r="E60" s="15">
        <v>6136997.8099999996</v>
      </c>
      <c r="F60" s="15">
        <v>399113.94000000006</v>
      </c>
      <c r="G60" s="15">
        <v>17316713.300000001</v>
      </c>
      <c r="H60" s="15">
        <v>19526815.809999995</v>
      </c>
    </row>
    <row r="61" spans="5:8" ht="13.5" customHeight="1" x14ac:dyDescent="0.2">
      <c r="E61" s="15">
        <v>8591788.0399999991</v>
      </c>
      <c r="F61" s="15">
        <v>4744893.9799999995</v>
      </c>
      <c r="G61" s="15">
        <v>245001059.45000002</v>
      </c>
      <c r="H61" s="15">
        <v>234991925.07999995</v>
      </c>
    </row>
    <row r="62" spans="5:8" ht="13.5" customHeight="1" x14ac:dyDescent="0.2">
      <c r="E62" s="15">
        <v>2580195.98</v>
      </c>
      <c r="F62" s="15"/>
      <c r="G62" s="15"/>
      <c r="H62" s="15"/>
    </row>
    <row r="63" spans="5:8" ht="13.5" customHeight="1" x14ac:dyDescent="0.2">
      <c r="E63" s="15">
        <v>54964931.36999999</v>
      </c>
      <c r="G63" s="28"/>
      <c r="H63" s="29"/>
    </row>
    <row r="64" spans="5:8" ht="13.5" customHeight="1" x14ac:dyDescent="0.2">
      <c r="E64" s="15"/>
      <c r="F64" s="20">
        <v>23950580.520000003</v>
      </c>
      <c r="G64" s="20">
        <v>1155266463.1299999</v>
      </c>
      <c r="H64" s="20">
        <v>1223571760.0100002</v>
      </c>
    </row>
    <row r="65" spans="5:8" ht="13.5" customHeight="1" x14ac:dyDescent="0.2">
      <c r="F65" s="15">
        <v>11860542.42</v>
      </c>
      <c r="G65" s="15">
        <v>421287801.71999991</v>
      </c>
      <c r="H65" s="15">
        <v>467430727.05000037</v>
      </c>
    </row>
    <row r="66" spans="5:8" ht="13.5" customHeight="1" x14ac:dyDescent="0.2">
      <c r="E66" s="20">
        <v>124685270.09000002</v>
      </c>
      <c r="F66" s="15">
        <v>4059079.25</v>
      </c>
      <c r="G66" s="15">
        <v>146899454.33000001</v>
      </c>
      <c r="H66" s="15">
        <v>161205614.53000003</v>
      </c>
    </row>
    <row r="67" spans="5:8" ht="13.5" customHeight="1" x14ac:dyDescent="0.2">
      <c r="E67" s="15">
        <v>37339549.660000004</v>
      </c>
      <c r="F67" s="15">
        <v>876424.28</v>
      </c>
      <c r="G67" s="15">
        <v>117844704.28</v>
      </c>
      <c r="H67" s="15">
        <v>109027134.55</v>
      </c>
    </row>
    <row r="68" spans="5:8" ht="13.5" customHeight="1" x14ac:dyDescent="0.2">
      <c r="E68" s="15">
        <v>12964992.9</v>
      </c>
      <c r="F68" s="15">
        <v>256026.88</v>
      </c>
      <c r="G68" s="15">
        <v>143434296.02999997</v>
      </c>
      <c r="H68" s="15">
        <v>165028018.41999999</v>
      </c>
    </row>
    <row r="69" spans="5:8" ht="13.5" customHeight="1" x14ac:dyDescent="0.2">
      <c r="E69" s="15">
        <v>1343170.13</v>
      </c>
      <c r="F69" s="15">
        <v>0</v>
      </c>
      <c r="G69" s="15">
        <v>142446.85</v>
      </c>
      <c r="H69" s="15">
        <v>1000796.62</v>
      </c>
    </row>
    <row r="70" spans="5:8" ht="13.5" customHeight="1" x14ac:dyDescent="0.2">
      <c r="E70" s="15">
        <v>604688.06000000006</v>
      </c>
      <c r="F70" s="15">
        <v>10144.040000000001</v>
      </c>
      <c r="G70" s="15">
        <v>17242801.710000001</v>
      </c>
      <c r="H70" s="15">
        <v>12278322.419999994</v>
      </c>
    </row>
    <row r="71" spans="5:8" ht="13.5" customHeight="1" x14ac:dyDescent="0.2">
      <c r="E71" s="15">
        <v>158956.14000000001</v>
      </c>
      <c r="F71" s="15">
        <v>61681.19</v>
      </c>
      <c r="G71" s="15">
        <v>14928126.400000004</v>
      </c>
      <c r="H71" s="15">
        <v>20283199.140000008</v>
      </c>
    </row>
    <row r="72" spans="5:8" ht="13.5" customHeight="1" x14ac:dyDescent="0.2">
      <c r="E72" s="15">
        <v>0</v>
      </c>
      <c r="F72" s="15">
        <v>754011.94000000006</v>
      </c>
      <c r="G72" s="15">
        <v>20010780.120000001</v>
      </c>
      <c r="H72" s="15">
        <v>21351893.150000006</v>
      </c>
    </row>
    <row r="73" spans="5:8" ht="13.5" customHeight="1" x14ac:dyDescent="0.2">
      <c r="E73" s="15">
        <v>212734.78000000003</v>
      </c>
      <c r="F73" s="15">
        <v>928662.6</v>
      </c>
      <c r="G73" s="15">
        <v>11158278.939999999</v>
      </c>
      <c r="H73" s="15">
        <v>11447313.239999995</v>
      </c>
    </row>
    <row r="74" spans="5:8" ht="13.5" customHeight="1" x14ac:dyDescent="0.2">
      <c r="E74" s="15">
        <v>5924263.0299999993</v>
      </c>
      <c r="F74" s="15">
        <v>945065.07</v>
      </c>
      <c r="G74" s="15">
        <v>20977238.560000002</v>
      </c>
      <c r="H74" s="15">
        <v>25702717.739999991</v>
      </c>
    </row>
    <row r="75" spans="5:8" ht="13.5" customHeight="1" x14ac:dyDescent="0.2">
      <c r="E75" s="15">
        <v>8591788.0399999991</v>
      </c>
      <c r="F75" s="15">
        <v>44001.78</v>
      </c>
      <c r="G75" s="15">
        <v>10602369.960000001</v>
      </c>
      <c r="H75" s="15">
        <v>10016385.310000001</v>
      </c>
    </row>
    <row r="76" spans="5:8" ht="13.5" customHeight="1" x14ac:dyDescent="0.2">
      <c r="E76" s="15">
        <v>7375883.46</v>
      </c>
      <c r="F76" s="15">
        <v>355112.16000000003</v>
      </c>
      <c r="G76" s="15">
        <v>6714343.3399999989</v>
      </c>
      <c r="H76" s="15">
        <v>9510430.4999999944</v>
      </c>
    </row>
    <row r="77" spans="5:8" ht="13.5" customHeight="1" x14ac:dyDescent="0.2">
      <c r="E77" s="15">
        <v>187284.33</v>
      </c>
      <c r="F77" s="15">
        <v>1624529.55</v>
      </c>
      <c r="G77" s="15">
        <v>15855882.620000001</v>
      </c>
      <c r="H77" s="15">
        <v>28627804.700000003</v>
      </c>
    </row>
    <row r="78" spans="5:8" ht="13.5" customHeight="1" x14ac:dyDescent="0.2">
      <c r="E78" s="15">
        <v>2392911.65</v>
      </c>
      <c r="F78" s="15">
        <v>202759.80000000002</v>
      </c>
      <c r="G78" s="15">
        <v>283477.64</v>
      </c>
      <c r="H78" s="15">
        <v>679428.03000000014</v>
      </c>
    </row>
    <row r="79" spans="5:8" ht="13.5" customHeight="1" x14ac:dyDescent="0.2">
      <c r="E79" s="15">
        <v>27980148.859999999</v>
      </c>
      <c r="F79" s="15">
        <v>62521.3</v>
      </c>
      <c r="G79" s="15">
        <v>414676.27</v>
      </c>
      <c r="H79" s="15">
        <v>756141.47</v>
      </c>
    </row>
    <row r="80" spans="5:8" ht="13.5" customHeight="1" x14ac:dyDescent="0.2">
      <c r="E80" s="15">
        <v>5440.05</v>
      </c>
      <c r="F80" s="15">
        <v>1910018.26</v>
      </c>
      <c r="G80" s="15">
        <v>207469784.36000001</v>
      </c>
      <c r="H80" s="15">
        <v>179225833.13999996</v>
      </c>
    </row>
    <row r="81" spans="5:5" ht="13.5" customHeight="1" x14ac:dyDescent="0.2">
      <c r="E81" s="15">
        <v>157425.99999999997</v>
      </c>
    </row>
    <row r="82" spans="5:5" ht="13.5" customHeight="1" x14ac:dyDescent="0.2">
      <c r="E82" s="15">
        <v>19446032.999999996</v>
      </c>
    </row>
    <row r="90" spans="5:5" ht="38.25" customHeight="1" x14ac:dyDescent="0.2"/>
    <row r="92" spans="5:5" ht="13.5" customHeight="1" x14ac:dyDescent="0.2">
      <c r="E92" s="19" t="s">
        <v>74</v>
      </c>
    </row>
    <row r="94" spans="5:5" ht="13.5" customHeight="1" x14ac:dyDescent="0.2">
      <c r="E94" s="30" t="e">
        <f>#REF!/#REF!*100</f>
        <v>#REF!</v>
      </c>
    </row>
    <row r="95" spans="5:5" ht="13.5" customHeight="1" x14ac:dyDescent="0.2">
      <c r="E95" s="30" t="e">
        <f>#REF!/#REF!*100</f>
        <v>#REF!</v>
      </c>
    </row>
    <row r="96" spans="5:5" ht="13.5" customHeight="1" x14ac:dyDescent="0.2">
      <c r="E96" s="30" t="e">
        <f>#REF!/#REF!*100</f>
        <v>#REF!</v>
      </c>
    </row>
    <row r="97" spans="5:5" ht="13.5" customHeight="1" x14ac:dyDescent="0.2">
      <c r="E97" s="30" t="e">
        <f>#REF!/#REF!*100</f>
        <v>#REF!</v>
      </c>
    </row>
    <row r="98" spans="5:5" ht="13.5" customHeight="1" x14ac:dyDescent="0.2">
      <c r="E98" s="30" t="e">
        <f>#REF!/#REF!*100</f>
        <v>#REF!</v>
      </c>
    </row>
    <row r="99" spans="5:5" ht="13.5" customHeight="1" x14ac:dyDescent="0.2">
      <c r="E99" s="30" t="e">
        <f>#REF!/#REF!*100</f>
        <v>#REF!</v>
      </c>
    </row>
    <row r="100" spans="5:5" ht="13.5" customHeight="1" x14ac:dyDescent="0.2">
      <c r="E100" s="30" t="e">
        <f>#REF!/#REF!*100</f>
        <v>#REF!</v>
      </c>
    </row>
    <row r="101" spans="5:5" ht="13.5" customHeight="1" x14ac:dyDescent="0.2">
      <c r="E101" s="30" t="e">
        <f>#REF!/#REF!*100</f>
        <v>#REF!</v>
      </c>
    </row>
    <row r="102" spans="5:5" ht="13.5" customHeight="1" x14ac:dyDescent="0.2">
      <c r="E102" s="30" t="e">
        <f>#REF!/#REF!*100</f>
        <v>#REF!</v>
      </c>
    </row>
    <row r="103" spans="5:5" ht="13.5" customHeight="1" x14ac:dyDescent="0.2">
      <c r="E103" s="30" t="e">
        <f>#REF!/#REF!*100</f>
        <v>#REF!</v>
      </c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88"/>
  <sheetViews>
    <sheetView zoomScaleNormal="100" workbookViewId="0">
      <selection activeCell="A3" sqref="A3"/>
    </sheetView>
  </sheetViews>
  <sheetFormatPr defaultRowHeight="13.5" customHeight="1" x14ac:dyDescent="0.2"/>
  <cols>
    <col min="1" max="1" width="25.5" style="2" customWidth="1"/>
    <col min="2" max="5" width="13.125" style="2" customWidth="1"/>
    <col min="6" max="8" width="9" style="2"/>
    <col min="9" max="9" width="13.375" style="2" customWidth="1"/>
    <col min="10" max="10" width="25" style="2" customWidth="1"/>
    <col min="11" max="11" width="13.125" style="2" customWidth="1"/>
    <col min="12" max="12" width="20.5" style="2" customWidth="1"/>
    <col min="13" max="15" width="11.625" style="2" customWidth="1"/>
    <col min="16" max="16" width="13.125" style="2" customWidth="1"/>
    <col min="17" max="16384" width="9" style="2"/>
  </cols>
  <sheetData>
    <row r="1" spans="1:17" ht="13.5" customHeight="1" x14ac:dyDescent="0.2">
      <c r="A1" s="16" t="s">
        <v>148</v>
      </c>
      <c r="C1" s="3"/>
      <c r="F1" s="149" t="s">
        <v>153</v>
      </c>
    </row>
    <row r="2" spans="1:17" ht="13.5" customHeight="1" x14ac:dyDescent="0.2">
      <c r="A2" s="34" t="s">
        <v>94</v>
      </c>
      <c r="C2" s="3"/>
      <c r="K2" s="19"/>
    </row>
    <row r="3" spans="1:17" ht="13.5" customHeight="1" x14ac:dyDescent="0.2">
      <c r="B3" s="24"/>
      <c r="C3" s="31"/>
      <c r="D3" s="24"/>
      <c r="E3" s="24"/>
      <c r="K3" s="24"/>
    </row>
    <row r="4" spans="1:17" ht="13.5" customHeight="1" x14ac:dyDescent="0.2">
      <c r="A4" s="179" t="s">
        <v>29</v>
      </c>
      <c r="B4" s="179" t="s">
        <v>48</v>
      </c>
      <c r="C4" s="179"/>
      <c r="D4" s="179"/>
      <c r="E4" s="179"/>
      <c r="K4" s="24"/>
      <c r="L4" s="2" t="s">
        <v>126</v>
      </c>
    </row>
    <row r="5" spans="1:17" ht="42" customHeight="1" x14ac:dyDescent="0.2">
      <c r="A5" s="179"/>
      <c r="B5" s="36" t="s">
        <v>82</v>
      </c>
      <c r="C5" s="36" t="s">
        <v>83</v>
      </c>
      <c r="D5" s="36" t="s">
        <v>26</v>
      </c>
      <c r="E5" s="36" t="s">
        <v>84</v>
      </c>
      <c r="K5" s="24"/>
      <c r="L5" s="35" t="s">
        <v>124</v>
      </c>
      <c r="M5" s="36" t="s">
        <v>84</v>
      </c>
      <c r="N5" s="36" t="s">
        <v>26</v>
      </c>
      <c r="O5" s="36" t="s">
        <v>83</v>
      </c>
      <c r="P5" s="36" t="s">
        <v>82</v>
      </c>
    </row>
    <row r="6" spans="1:17" ht="13.5" customHeight="1" x14ac:dyDescent="0.2">
      <c r="A6" s="77" t="s">
        <v>14</v>
      </c>
      <c r="B6" s="78">
        <v>1392055319.8499994</v>
      </c>
      <c r="C6" s="78">
        <v>1392814420.4400001</v>
      </c>
      <c r="D6" s="78">
        <v>23325998.999999996</v>
      </c>
      <c r="E6" s="78">
        <v>169250166.72000003</v>
      </c>
      <c r="K6" s="24"/>
      <c r="L6" s="49" t="s">
        <v>64</v>
      </c>
      <c r="M6" s="93">
        <v>0.38692812154412742</v>
      </c>
      <c r="N6" s="93">
        <v>0.86782099107523758</v>
      </c>
      <c r="O6" s="93">
        <v>0.71363597804795853</v>
      </c>
      <c r="P6" s="93">
        <v>0.84698727217036784</v>
      </c>
    </row>
    <row r="7" spans="1:17" ht="13.5" customHeight="1" x14ac:dyDescent="0.2">
      <c r="A7" s="70" t="s">
        <v>64</v>
      </c>
      <c r="B7" s="79">
        <v>1179053138.0699999</v>
      </c>
      <c r="C7" s="79">
        <v>993962481.16999996</v>
      </c>
      <c r="D7" s="79">
        <v>20242791.569999997</v>
      </c>
      <c r="E7" s="79">
        <v>65487649.080000006</v>
      </c>
      <c r="L7" s="50" t="s">
        <v>66</v>
      </c>
      <c r="M7" s="94">
        <v>0.52588557887359688</v>
      </c>
      <c r="N7" s="94">
        <v>1.5505825924111549E-2</v>
      </c>
      <c r="O7" s="94">
        <v>1.3206816270748403E-2</v>
      </c>
      <c r="P7" s="94">
        <v>2.7758561839456054E-2</v>
      </c>
    </row>
    <row r="8" spans="1:17" ht="13.5" customHeight="1" x14ac:dyDescent="0.2">
      <c r="A8" s="70" t="s">
        <v>66</v>
      </c>
      <c r="B8" s="79">
        <v>38641453.679999985</v>
      </c>
      <c r="C8" s="79">
        <v>18394644.149999999</v>
      </c>
      <c r="D8" s="79">
        <v>361688.88</v>
      </c>
      <c r="E8" s="79">
        <v>89006221.900000006</v>
      </c>
      <c r="L8" s="50" t="s">
        <v>79</v>
      </c>
      <c r="M8" s="94">
        <v>1.7004289896867285E-3</v>
      </c>
      <c r="N8" s="94">
        <v>1.3950099200467258E-4</v>
      </c>
      <c r="O8" s="94">
        <v>1.39086281170755E-2</v>
      </c>
      <c r="P8" s="94">
        <v>5.4722468937662915E-4</v>
      </c>
    </row>
    <row r="9" spans="1:17" ht="13.5" customHeight="1" x14ac:dyDescent="0.2">
      <c r="A9" s="70" t="s">
        <v>67</v>
      </c>
      <c r="B9" s="79">
        <v>761767.04</v>
      </c>
      <c r="C9" s="79">
        <v>19372137.810000002</v>
      </c>
      <c r="D9" s="79">
        <v>3254</v>
      </c>
      <c r="E9" s="79">
        <v>287797.89</v>
      </c>
      <c r="K9" s="33"/>
      <c r="L9" s="51" t="s">
        <v>33</v>
      </c>
      <c r="M9" s="96">
        <v>8.5485870592588803E-2</v>
      </c>
      <c r="N9" s="96">
        <v>0.11653368200864624</v>
      </c>
      <c r="O9" s="96">
        <v>0.25924857756421749</v>
      </c>
      <c r="P9" s="96">
        <v>0.12470694130079976</v>
      </c>
      <c r="Q9"/>
    </row>
    <row r="10" spans="1:17" ht="13.5" customHeight="1" x14ac:dyDescent="0.2">
      <c r="A10" s="80" t="s">
        <v>69</v>
      </c>
      <c r="B10" s="81">
        <v>173598961.05999991</v>
      </c>
      <c r="C10" s="81">
        <v>361085157.31</v>
      </c>
      <c r="D10" s="81">
        <v>2718264.55</v>
      </c>
      <c r="E10" s="81">
        <v>14468497.850000001</v>
      </c>
      <c r="K10" s="33"/>
      <c r="P10"/>
      <c r="Q10"/>
    </row>
    <row r="11" spans="1:17" ht="13.5" customHeight="1" x14ac:dyDescent="0.2">
      <c r="A11" s="46" t="s">
        <v>87</v>
      </c>
      <c r="B11" s="48"/>
      <c r="C11" s="48"/>
      <c r="D11" s="48"/>
      <c r="E11" s="48"/>
      <c r="K11" s="33"/>
      <c r="P11"/>
      <c r="Q11" s="45"/>
    </row>
    <row r="12" spans="1:17" ht="13.5" customHeight="1" x14ac:dyDescent="0.2">
      <c r="A12" s="82" t="s">
        <v>64</v>
      </c>
      <c r="B12" s="93">
        <v>0.84698727217036784</v>
      </c>
      <c r="C12" s="93">
        <v>0.71363597804795853</v>
      </c>
      <c r="D12" s="93">
        <v>0.86782099107523758</v>
      </c>
      <c r="E12" s="93">
        <v>0.38692812154412742</v>
      </c>
      <c r="K12" s="33"/>
      <c r="P12"/>
      <c r="Q12" s="45"/>
    </row>
    <row r="13" spans="1:17" ht="13.5" customHeight="1" x14ac:dyDescent="0.2">
      <c r="A13" s="70" t="s">
        <v>66</v>
      </c>
      <c r="B13" s="94">
        <v>2.7758561839456054E-2</v>
      </c>
      <c r="C13" s="94">
        <v>1.3206816270748403E-2</v>
      </c>
      <c r="D13" s="94">
        <v>1.5505825924111549E-2</v>
      </c>
      <c r="E13" s="94">
        <v>0.52588557887359688</v>
      </c>
      <c r="K13" s="32"/>
      <c r="P13"/>
      <c r="Q13" s="45"/>
    </row>
    <row r="14" spans="1:17" ht="13.5" customHeight="1" x14ac:dyDescent="0.2">
      <c r="A14" s="70" t="s">
        <v>79</v>
      </c>
      <c r="B14" s="94">
        <v>5.4722468937662915E-4</v>
      </c>
      <c r="C14" s="94">
        <v>1.39086281170755E-2</v>
      </c>
      <c r="D14" s="94">
        <v>1.3950099200467258E-4</v>
      </c>
      <c r="E14" s="94">
        <v>1.7004289896867285E-3</v>
      </c>
      <c r="K14" s="32"/>
      <c r="P14"/>
      <c r="Q14" s="45"/>
    </row>
    <row r="15" spans="1:17" ht="13.5" customHeight="1" x14ac:dyDescent="0.2">
      <c r="A15" s="80" t="s">
        <v>33</v>
      </c>
      <c r="B15" s="96">
        <v>0.12470694130079976</v>
      </c>
      <c r="C15" s="96">
        <v>0.25924857756421749</v>
      </c>
      <c r="D15" s="96">
        <v>0.11653368200864624</v>
      </c>
      <c r="E15" s="96">
        <v>8.5485870592588803E-2</v>
      </c>
    </row>
    <row r="16" spans="1:17" ht="13.5" customHeight="1" x14ac:dyDescent="0.2">
      <c r="C16" s="3"/>
    </row>
    <row r="17" spans="1:7" ht="13.5" customHeight="1" x14ac:dyDescent="0.2">
      <c r="A17" s="2" t="s">
        <v>73</v>
      </c>
      <c r="C17" s="3"/>
    </row>
    <row r="23" spans="1:7" ht="13.5" customHeight="1" x14ac:dyDescent="0.2">
      <c r="G23" s="2" t="s">
        <v>73</v>
      </c>
    </row>
    <row r="76" spans="10:15" ht="13.5" customHeight="1" x14ac:dyDescent="0.2">
      <c r="J76" s="20"/>
      <c r="K76" s="20"/>
      <c r="L76" s="20"/>
      <c r="M76" s="20"/>
      <c r="N76" s="20"/>
      <c r="O76" s="20"/>
    </row>
    <row r="77" spans="10:15" ht="13.5" customHeight="1" x14ac:dyDescent="0.2">
      <c r="J77" s="15"/>
      <c r="K77" s="15"/>
      <c r="L77" s="15"/>
      <c r="M77" s="15"/>
      <c r="N77" s="15"/>
      <c r="O77" s="15"/>
    </row>
    <row r="78" spans="10:15" ht="13.5" customHeight="1" x14ac:dyDescent="0.2">
      <c r="J78" s="15"/>
      <c r="K78" s="15"/>
      <c r="L78" s="15"/>
      <c r="M78" s="15"/>
      <c r="N78" s="15"/>
      <c r="O78" s="15"/>
    </row>
    <row r="79" spans="10:15" ht="13.5" customHeight="1" x14ac:dyDescent="0.2">
      <c r="J79" s="15"/>
      <c r="K79" s="15"/>
      <c r="L79" s="15"/>
      <c r="M79" s="15"/>
      <c r="N79" s="15"/>
      <c r="O79" s="15"/>
    </row>
    <row r="80" spans="10:15" ht="13.5" customHeight="1" x14ac:dyDescent="0.2">
      <c r="J80" s="15"/>
      <c r="K80" s="15"/>
      <c r="L80" s="15"/>
      <c r="M80" s="15"/>
      <c r="N80" s="15"/>
      <c r="O80" s="15"/>
    </row>
    <row r="81" spans="10:15" ht="13.5" customHeight="1" x14ac:dyDescent="0.2">
      <c r="J81" s="15"/>
      <c r="K81" s="15"/>
      <c r="L81" s="15"/>
      <c r="M81" s="15"/>
      <c r="N81" s="15"/>
      <c r="O81" s="15"/>
    </row>
    <row r="82" spans="10:15" ht="13.5" customHeight="1" x14ac:dyDescent="0.2">
      <c r="J82" s="15"/>
      <c r="K82" s="15"/>
      <c r="L82" s="15"/>
      <c r="M82" s="15"/>
      <c r="N82" s="15"/>
      <c r="O82" s="15"/>
    </row>
    <row r="83" spans="10:15" ht="13.5" customHeight="1" x14ac:dyDescent="0.2">
      <c r="J83" s="15"/>
      <c r="K83" s="15"/>
      <c r="L83" s="15"/>
      <c r="M83" s="15"/>
      <c r="N83" s="15"/>
      <c r="O83" s="15"/>
    </row>
    <row r="84" spans="10:15" ht="13.5" customHeight="1" x14ac:dyDescent="0.2">
      <c r="J84" s="15"/>
      <c r="K84" s="15"/>
      <c r="L84" s="15"/>
      <c r="M84" s="15"/>
      <c r="N84" s="15"/>
      <c r="O84" s="15"/>
    </row>
    <row r="85" spans="10:15" ht="13.5" customHeight="1" x14ac:dyDescent="0.2">
      <c r="J85" s="15"/>
      <c r="K85" s="15"/>
      <c r="L85" s="15"/>
      <c r="M85" s="15"/>
      <c r="N85" s="15"/>
      <c r="O85" s="15"/>
    </row>
    <row r="88" spans="10:15" ht="13.5" customHeight="1" x14ac:dyDescent="0.2">
      <c r="J88" s="15"/>
    </row>
  </sheetData>
  <mergeCells count="2">
    <mergeCell ref="A4:A5"/>
    <mergeCell ref="B4:E4"/>
  </mergeCells>
  <hyperlinks>
    <hyperlink ref="F1" location="Obsah!A1" display="Naspäť na obsah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listy</vt:lpstr>
      </vt:variant>
      <vt:variant>
        <vt:i4>9</vt:i4>
      </vt:variant>
      <vt:variant>
        <vt:lpstr>Pojmenované oblasti</vt:lpstr>
      </vt:variant>
      <vt:variant>
        <vt:i4>2</vt:i4>
      </vt:variant>
    </vt:vector>
  </HeadingPairs>
  <TitlesOfParts>
    <vt:vector size="11" baseType="lpstr">
      <vt:lpstr>Obsah</vt:lpstr>
      <vt:lpstr>Meta</vt:lpstr>
      <vt:lpstr>T1</vt:lpstr>
      <vt:lpstr>T2</vt:lpstr>
      <vt:lpstr>T3</vt:lpstr>
      <vt:lpstr>G1</vt:lpstr>
      <vt:lpstr>G2</vt:lpstr>
      <vt:lpstr>G3</vt:lpstr>
      <vt:lpstr>G4</vt:lpstr>
      <vt:lpstr>'T2'!Oblast_tisku</vt:lpstr>
      <vt:lpstr>'T3'!Oblast_tisku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2021-01-29T11:12:26Z</dcterms:created>
  <dcterms:modified xsi:type="dcterms:W3CDTF">2021-05-03T10:23:42Z</dcterms:modified>
</cp:coreProperties>
</file>