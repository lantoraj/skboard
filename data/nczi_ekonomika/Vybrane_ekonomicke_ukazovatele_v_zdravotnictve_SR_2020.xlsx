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ento_zošit"/>
  <bookViews>
    <workbookView xWindow="0" yWindow="0" windowWidth="15345" windowHeight="4545"/>
  </bookViews>
  <sheets>
    <sheet name="Obsah" sheetId="24" r:id="rId1"/>
    <sheet name="Meta" sheetId="18" r:id="rId2"/>
    <sheet name="T1" sheetId="19" r:id="rId3"/>
    <sheet name="T2" sheetId="2" r:id="rId4"/>
    <sheet name="T3" sheetId="3" r:id="rId5"/>
    <sheet name="G1" sheetId="20" r:id="rId6"/>
    <sheet name="G2" sheetId="21" r:id="rId7"/>
    <sheet name="G3" sheetId="22" r:id="rId8"/>
    <sheet name="G4" sheetId="23" r:id="rId9"/>
  </sheets>
  <definedNames>
    <definedName name="_xlnm.Print_Area" localSheetId="3">'T2'!$A$1:$F$38</definedName>
    <definedName name="_xlnm.Print_Area" localSheetId="4">'T3'!$A$1:$C$34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6" i="22" l="1"/>
  <c r="C16" i="22"/>
  <c r="B16" i="22"/>
  <c r="E16" i="22"/>
  <c r="D16" i="20" l="1"/>
  <c r="C16" i="20"/>
  <c r="B16" i="20"/>
  <c r="E103" i="22" l="1"/>
  <c r="E102" i="22"/>
  <c r="E101" i="22"/>
  <c r="E100" i="22"/>
  <c r="E99" i="22"/>
  <c r="E98" i="22"/>
  <c r="E97" i="22"/>
  <c r="E96" i="22"/>
  <c r="E95" i="22"/>
  <c r="E94" i="22"/>
</calcChain>
</file>

<file path=xl/sharedStrings.xml><?xml version="1.0" encoding="utf-8"?>
<sst xmlns="http://schemas.openxmlformats.org/spreadsheetml/2006/main" count="316" uniqueCount="152">
  <si>
    <t>MZ SR – nezisková organizácia</t>
  </si>
  <si>
    <t>MZ SR – akciová spoločnosť</t>
  </si>
  <si>
    <t>MZ SR – príspevková organizácia</t>
  </si>
  <si>
    <t xml:space="preserve">iný rezort – príspevková organizácia </t>
  </si>
  <si>
    <t>VÚC – nezisková organizácia</t>
  </si>
  <si>
    <t>VÚC – príspevková organizácia</t>
  </si>
  <si>
    <t>iný zriaďovateľ – živnostník, fyzická osoba</t>
  </si>
  <si>
    <t>iný zriaďovateľ – s. r. o.</t>
  </si>
  <si>
    <t>iný zriaďovateľ – nezisková organizácia</t>
  </si>
  <si>
    <t>iný zriaďovateľ – akciová spoločnosť</t>
  </si>
  <si>
    <t>iný zriaďovateľ – cirkevná organizácia</t>
  </si>
  <si>
    <t>Počet organizácií</t>
  </si>
  <si>
    <t>Náklady spolu (€)</t>
  </si>
  <si>
    <t>z toho na</t>
  </si>
  <si>
    <t>Výnosy spolu (€)</t>
  </si>
  <si>
    <t>mzdy</t>
  </si>
  <si>
    <t>odvody</t>
  </si>
  <si>
    <t>lieky</t>
  </si>
  <si>
    <t>zdravotnícke pomôcky</t>
  </si>
  <si>
    <t>odpisy</t>
  </si>
  <si>
    <t>spotrebu energie</t>
  </si>
  <si>
    <t xml:space="preserve">tržby od obyvateľstva </t>
  </si>
  <si>
    <t xml:space="preserve">z toho za lieky </t>
  </si>
  <si>
    <t>Slovenská republika</t>
  </si>
  <si>
    <t>všeobecné a špecializované nemocnice</t>
  </si>
  <si>
    <t>fakultné nemocnice</t>
  </si>
  <si>
    <t>liečebne</t>
  </si>
  <si>
    <t>Hospodársky výsledok (€)</t>
  </si>
  <si>
    <t>krv a krvné výrobky</t>
  </si>
  <si>
    <t>Ukazovateľ</t>
  </si>
  <si>
    <t>Spolu</t>
  </si>
  <si>
    <t>opravy a údržbu</t>
  </si>
  <si>
    <t>stravovanie pacientov</t>
  </si>
  <si>
    <t>ostatné výnosy</t>
  </si>
  <si>
    <t xml:space="preserve">tržby od zdravotných poisťovní </t>
  </si>
  <si>
    <t>prevádzkové dotácie od zriaďovateľa</t>
  </si>
  <si>
    <t>z toho zriaďovateľ a právna forma</t>
  </si>
  <si>
    <t>ostatnú hospodársko-technickú správu</t>
  </si>
  <si>
    <t>z toho za</t>
  </si>
  <si>
    <t>ukončené hospitalizácie</t>
  </si>
  <si>
    <t xml:space="preserve">ošetrovacie dni </t>
  </si>
  <si>
    <t>pripočítateľné položky</t>
  </si>
  <si>
    <t xml:space="preserve">body </t>
  </si>
  <si>
    <t>za lieky</t>
  </si>
  <si>
    <t>za zdravotnícke pomôcky</t>
  </si>
  <si>
    <t>za doplnkový sortiment lekární</t>
  </si>
  <si>
    <t>iné</t>
  </si>
  <si>
    <r>
      <t xml:space="preserve">ostatní ústavní PZS </t>
    </r>
    <r>
      <rPr>
        <vertAlign val="superscript"/>
        <sz val="9"/>
        <color theme="1"/>
        <rFont val="Arial"/>
        <family val="2"/>
        <charset val="238"/>
      </rPr>
      <t>2)</t>
    </r>
    <r>
      <rPr>
        <i/>
        <sz val="9"/>
        <color theme="1"/>
        <rFont val="Arial"/>
        <family val="2"/>
        <charset val="238"/>
      </rPr>
      <t/>
    </r>
  </si>
  <si>
    <t>Skupina poskytovateľa ústavnej zdravotnej starostlivosti</t>
  </si>
  <si>
    <t xml:space="preserve">z toho na </t>
  </si>
  <si>
    <t>doplnkový sortiment lekární</t>
  </si>
  <si>
    <t>pobyt v stacionári</t>
  </si>
  <si>
    <t>kapitáciu/paušál</t>
  </si>
  <si>
    <t>ambulantná zdravotná starostlivosť</t>
  </si>
  <si>
    <t>lekárenská starostlivosť</t>
  </si>
  <si>
    <t>Skupina poskytovateľa zdravotnej starostlivosti</t>
  </si>
  <si>
    <t>–</t>
  </si>
  <si>
    <t>iný zriaďovateľ – združenie (zväz, spolok)</t>
  </si>
  <si>
    <r>
      <t xml:space="preserve">ukončené hospitalizačné prípady v zmysle DRG </t>
    </r>
    <r>
      <rPr>
        <vertAlign val="superscript"/>
        <sz val="9"/>
        <color theme="1"/>
        <rFont val="Arial"/>
        <family val="2"/>
        <charset val="238"/>
      </rPr>
      <t>1)</t>
    </r>
  </si>
  <si>
    <r>
      <rPr>
        <vertAlign val="superscript"/>
        <sz val="9"/>
        <rFont val="Arial"/>
        <family val="2"/>
        <charset val="238"/>
      </rPr>
      <t xml:space="preserve">2) </t>
    </r>
    <r>
      <rPr>
        <sz val="9"/>
        <rFont val="Arial"/>
        <family val="2"/>
        <charset val="238"/>
      </rPr>
      <t>kúpele, ozdravovne, hospice, domy ošetrovateľskej starostlivosti</t>
    </r>
  </si>
  <si>
    <t xml:space="preserve">mzdy a odvody </t>
  </si>
  <si>
    <t xml:space="preserve">lieky </t>
  </si>
  <si>
    <t>tržby od zdravotných poisťovní</t>
  </si>
  <si>
    <t>doplnkový sortiment lekárni</t>
  </si>
  <si>
    <t>tržby od obyvateľstva</t>
  </si>
  <si>
    <t xml:space="preserve">prevádzkové dotácie </t>
  </si>
  <si>
    <t xml:space="preserve">odpisy </t>
  </si>
  <si>
    <t xml:space="preserve">ostatné výnosy </t>
  </si>
  <si>
    <t xml:space="preserve">stravovanie pacientov </t>
  </si>
  <si>
    <t xml:space="preserve">oprava a údržba </t>
  </si>
  <si>
    <t xml:space="preserve">ostatné náklady </t>
  </si>
  <si>
    <r>
      <rPr>
        <vertAlign val="superscript"/>
        <sz val="9"/>
        <color theme="1"/>
        <rFont val="Arial"/>
        <family val="2"/>
        <charset val="238"/>
      </rPr>
      <t xml:space="preserve">1) </t>
    </r>
    <r>
      <rPr>
        <sz val="9"/>
        <color theme="1"/>
        <rFont val="Arial"/>
        <family val="2"/>
        <charset val="238"/>
      </rPr>
      <t>kúpele, ozdravovne, hospice, domy ošetrovateľskej starostlivosti</t>
    </r>
  </si>
  <si>
    <t xml:space="preserve">všeobecné a špecializované
nemocnice
general and
specialised hospitals </t>
  </si>
  <si>
    <t>mzdy a odvody</t>
  </si>
  <si>
    <t>oprava a údržba</t>
  </si>
  <si>
    <t>ostatné náklady</t>
  </si>
  <si>
    <t>lekárenská
starostlivosť</t>
  </si>
  <si>
    <t>prevádzkové dotácie</t>
  </si>
  <si>
    <t>ambulantná
zdravotná
starostlivosť</t>
  </si>
  <si>
    <t>ústavná
zdravotná
starostlivosť</t>
  </si>
  <si>
    <t xml:space="preserve">všeobecné
a špecializované
nemocnice </t>
  </si>
  <si>
    <t>fakultné
nemocnice</t>
  </si>
  <si>
    <r>
      <t>ostatní
ústavní PZS</t>
    </r>
    <r>
      <rPr>
        <vertAlign val="superscript"/>
        <sz val="9"/>
        <color theme="1"/>
        <rFont val="Arial"/>
        <family val="2"/>
        <charset val="238"/>
      </rPr>
      <t xml:space="preserve"> 1)</t>
    </r>
  </si>
  <si>
    <t>výkony vrátane jednodňovej zdravotnej starostlivosti</t>
  </si>
  <si>
    <t>Forma poskytovanej zdravotnej starostlivosti</t>
  </si>
  <si>
    <t>Podiel v %</t>
  </si>
  <si>
    <t>Metodické poznámky</t>
  </si>
  <si>
    <t>Vysvetlenie symbolov</t>
  </si>
  <si>
    <r>
      <t>Ležatá čiarka</t>
    </r>
    <r>
      <rPr>
        <b/>
        <sz val="9"/>
        <color theme="1"/>
        <rFont val="Arial"/>
        <family val="2"/>
        <charset val="238"/>
      </rPr>
      <t xml:space="preserve"> </t>
    </r>
  </si>
  <si>
    <t>(–)</t>
  </si>
  <si>
    <t>jav sa nevyskytoval</t>
  </si>
  <si>
    <t xml:space="preserve">Nula
</t>
  </si>
  <si>
    <t>(0; 0,0; 0,00)</t>
  </si>
  <si>
    <t>znamená viac ako nulu, ale menej ako najmenšiu jednotku vyjadriteľnú v tabuľke</t>
  </si>
  <si>
    <t xml:space="preserve">Bodka
</t>
  </si>
  <si>
    <t>(.)</t>
  </si>
  <si>
    <t>údaj nie je k dispozícií alebo je nespoľahlivý</t>
  </si>
  <si>
    <t xml:space="preserve">Ležatý krížik
</t>
  </si>
  <si>
    <t>(x)</t>
  </si>
  <si>
    <t>zápis nie je možný z logických dôvodov</t>
  </si>
  <si>
    <t xml:space="preserve">Veľké D
 </t>
  </si>
  <si>
    <t>(D)</t>
  </si>
  <si>
    <t>údaj nie je možné publikovať pre jeho dôverný charakter</t>
  </si>
  <si>
    <t>Znak zlomu</t>
  </si>
  <si>
    <r>
      <t>(</t>
    </r>
    <r>
      <rPr>
        <sz val="9"/>
        <color theme="1"/>
        <rFont val="Webdings"/>
        <family val="1"/>
        <charset val="2"/>
      </rPr>
      <t>~</t>
    </r>
    <r>
      <rPr>
        <sz val="9"/>
        <color theme="1"/>
        <rFont val="Arial"/>
        <family val="2"/>
        <charset val="238"/>
      </rPr>
      <t>)</t>
    </r>
  </si>
  <si>
    <t>prerušenie porovnateľnosti časového radu z metodických alebo iných dôvodov</t>
  </si>
  <si>
    <t>z toho</t>
  </si>
  <si>
    <t>znamená neúplný výber položiek</t>
  </si>
  <si>
    <t>v tom</t>
  </si>
  <si>
    <t>znamená úplný výber položiek</t>
  </si>
  <si>
    <t>© Národné centrum zdravotníckych informácií</t>
  </si>
  <si>
    <t>PZS</t>
  </si>
  <si>
    <t>Údaje o finančnom hospodárení organizácií pôsobiacich v zdravotníctve sú získavané na báze zisťovania ekonomiky nákladových stredísk – odborných útvarov.</t>
  </si>
  <si>
    <t>Zaradenie poskytovateľa zdravotnej starostlivosti do skupiny poskytovateľov v tabuľke T 2 a T 3 je na základe prevažujúcej činnosti daného PZS.</t>
  </si>
  <si>
    <t>Zoznam druhov právnej formy u jednotlivých zriaďovateľov v tabuľke T 1 nie je vyčerpávajúci. Uvedené sú len triedenia, v ktorých počet spravodajských jednotiek bol rovný alebo väčší ako 3 z dôvodu ochrany dôverných štatistických údajov spravodajských jednotiek.</t>
  </si>
  <si>
    <t>Názov</t>
  </si>
  <si>
    <t>Hárok</t>
  </si>
  <si>
    <t>tabuľka</t>
  </si>
  <si>
    <t>Meta</t>
  </si>
  <si>
    <t>T1</t>
  </si>
  <si>
    <t>graf</t>
  </si>
  <si>
    <t>T2</t>
  </si>
  <si>
    <t>T3</t>
  </si>
  <si>
    <t>G1</t>
  </si>
  <si>
    <t>G2</t>
  </si>
  <si>
    <t>G3</t>
  </si>
  <si>
    <t>G4</t>
  </si>
  <si>
    <t>Skratky</t>
  </si>
  <si>
    <t>poskytovateľ zdravotnej starostlivosti</t>
  </si>
  <si>
    <t>Ministerstvo zdravotníctva Slovenskej republiky</t>
  </si>
  <si>
    <t>MZ SR</t>
  </si>
  <si>
    <t>VÚC</t>
  </si>
  <si>
    <t>vyšší územný celok</t>
  </si>
  <si>
    <t>s. r. o.</t>
  </si>
  <si>
    <t>spoločnosť s ručením obmedzeným</t>
  </si>
  <si>
    <t>Ročný výkaz o ekonomike organizácií v zdravotníctve E (MZ SR) 2-01
Štvrťročný výkaz o ekonomike organizácií v zdravotníctve E (MZ SR) 1-04
Mesačný výkaz o ekonomike vybraných organizácií v zdravotníctve E (MZ SR) 3-12</t>
  </si>
  <si>
    <t>VÚC – s. r. o.</t>
  </si>
  <si>
    <t>spotreba energie</t>
  </si>
  <si>
    <t>Naspäť na obsah</t>
  </si>
  <si>
    <t>Vybrané ekonomické ukazovatele v zdravotníctve v Slovenskej republike 2020</t>
  </si>
  <si>
    <t>Zdrojom údajov za rok 2020 sú štatistické zisťovania Ministerstva zdravotníctva SR:</t>
  </si>
  <si>
    <t>Spravodajskými jednotkami sú organizácie pôsobiace v zdravotníctve na území SR:
- všetky príspevkové a neziskové organizácie a štátne akciové spoločnosti - poskytovatelia zdravotnej starostlivosti a poskytovatelia služieb súvisiacich s poskytovaním zdravotnej starostlivosti a ďalšie organizácie v zdravotníctve,
- neštátni poskytovatelia zdravotnej starostlivosti a poskytovatelia služieb súvisiacich s poskytovaním zdravotnej starostlivosti (mimo zubných technikov).
Výkaz predkladajú právnické, resp. fyzické osoby sumárne za všetky zdravotnícke zariadenia, ktoré prevádzkujú. Návratnosť výkazov od spravodajských jednotiek bola 81,03 %.</t>
  </si>
  <si>
    <t>Dátum publikovania: december 2021</t>
  </si>
  <si>
    <t>iný zriaďovateľ – zahraničná osoba</t>
  </si>
  <si>
    <t>G 4 Štruktúra výnosov v zariadeniach ústavnej zdravotnej starostlivosti v roku 2020</t>
  </si>
  <si>
    <t>G 3 Štruktúra nákladov v zariadeniach ústavnej zdravotnej starostlivosti v roku 2020</t>
  </si>
  <si>
    <t>G 2 Štruktúra výnosov podľa formy poskytovanej zdravotnej starostlivosti v roku 2020</t>
  </si>
  <si>
    <t>G 1 Štruktúra nákladov podľa formy poskytovanej zdravotnej starostlivosti v roku 2020</t>
  </si>
  <si>
    <t>T 3 Náklady, výnosy a hospodársky výsledok v zariadeniach ambulantnej a lekárenskej zdravotnej starostlivosti v roku 2020</t>
  </si>
  <si>
    <t>T 2 Náklady, výnosy a hospodársky výsledok v zariadeniach ústavnej zdravotnej starostlivosti v roku 2020</t>
  </si>
  <si>
    <t>T 1 Náklady, výnosy a hospodársky výsledok v organizáciách v zdravotníctve podľa zriaďovateľa a právnej formy v roku 2020</t>
  </si>
  <si>
    <r>
      <rPr>
        <vertAlign val="superscript"/>
        <sz val="9"/>
        <color theme="1"/>
        <rFont val="Arial"/>
        <family val="2"/>
        <charset val="238"/>
      </rPr>
      <t>1)</t>
    </r>
    <r>
      <rPr>
        <sz val="9"/>
        <color theme="1"/>
        <rFont val="Arial"/>
        <family val="2"/>
        <charset val="238"/>
      </rPr>
      <t xml:space="preserve"> vykazovali vybraní poskytovatelia ústavnej zdravotnej starostlivosti zaradení do systému financovania prostredníctvom Diagnoses Related Groups (DRG) v zmysle metodických usmernení ÚDZS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</si>
</sst>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.0"/>
    <numFmt numFmtId="165" formatCode="0.000"/>
    <numFmt numFmtId="166" formatCode="0.0"/>
    <numFmt numFmtId="167" formatCode="0.0%"/>
  </numFmts>
  <fonts count="34" x14ac:knownFonts="1">
    <font>
      <sz val="11"/>
      <color theme="1"/>
      <name val="Arial"/>
      <family val="2"/>
      <charset val="238"/>
      <scheme val="minor"/>
    </font>
    <font>
      <sz val="10"/>
      <color indexed="8"/>
      <name val="Arial"/>
      <family val="2"/>
      <charset val="238"/>
    </font>
    <font>
      <b/>
      <sz val="10"/>
      <color theme="1"/>
      <name val="Arial"/>
      <family val="2"/>
      <charset val="238"/>
    </font>
    <font>
      <b/>
      <sz val="9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i/>
      <sz val="9"/>
      <color theme="1"/>
      <name val="Arial"/>
      <family val="2"/>
      <charset val="238"/>
    </font>
    <font>
      <sz val="9"/>
      <name val="Arial"/>
      <family val="2"/>
      <charset val="238"/>
    </font>
    <font>
      <i/>
      <sz val="9"/>
      <name val="Arial"/>
      <family val="2"/>
      <charset val="238"/>
    </font>
    <font>
      <b/>
      <sz val="10"/>
      <name val="Arial"/>
      <family val="2"/>
      <charset val="238"/>
    </font>
    <font>
      <vertAlign val="superscript"/>
      <sz val="9"/>
      <color theme="1"/>
      <name val="Arial"/>
      <family val="2"/>
      <charset val="238"/>
    </font>
    <font>
      <sz val="10"/>
      <name val="Arial CE"/>
      <charset val="238"/>
    </font>
    <font>
      <sz val="11"/>
      <color theme="1"/>
      <name val="Arial"/>
      <family val="2"/>
      <scheme val="minor"/>
    </font>
    <font>
      <sz val="9"/>
      <color rgb="FFFF0000"/>
      <name val="Arial"/>
      <family val="2"/>
      <charset val="238"/>
    </font>
    <font>
      <sz val="10"/>
      <name val="Times New Roman"/>
      <family val="1"/>
      <charset val="238"/>
    </font>
    <font>
      <vertAlign val="superscript"/>
      <sz val="9"/>
      <name val="Arial"/>
      <family val="2"/>
      <charset val="238"/>
    </font>
    <font>
      <b/>
      <sz val="9"/>
      <color indexed="8"/>
      <name val="Arial"/>
      <family val="2"/>
      <charset val="238"/>
    </font>
    <font>
      <sz val="9"/>
      <color indexed="8"/>
      <name val="Arial"/>
      <family val="2"/>
      <charset val="238"/>
    </font>
    <font>
      <sz val="10"/>
      <name val="Arial"/>
      <family val="2"/>
      <charset val="238"/>
    </font>
    <font>
      <sz val="10"/>
      <color theme="1"/>
      <name val="Arial"/>
      <family val="2"/>
      <charset val="238"/>
    </font>
    <font>
      <i/>
      <sz val="11"/>
      <color theme="1"/>
      <name val="Arial"/>
      <family val="2"/>
      <charset val="238"/>
      <scheme val="minor"/>
    </font>
    <font>
      <b/>
      <sz val="9"/>
      <name val="Arial"/>
      <family val="2"/>
      <charset val="238"/>
    </font>
    <font>
      <sz val="11"/>
      <color rgb="FF000000"/>
      <name val="Calibri"/>
      <family val="2"/>
    </font>
    <font>
      <u/>
      <sz val="9"/>
      <color rgb="FF0000FF"/>
      <name val="Arial"/>
      <family val="2"/>
      <charset val="238"/>
    </font>
    <font>
      <u/>
      <sz val="11"/>
      <color theme="10"/>
      <name val="Arial"/>
      <family val="2"/>
      <charset val="238"/>
      <scheme val="minor"/>
    </font>
    <font>
      <u/>
      <sz val="10"/>
      <color theme="10"/>
      <name val="Arial"/>
      <family val="2"/>
      <charset val="238"/>
      <scheme val="minor"/>
    </font>
    <font>
      <sz val="9"/>
      <color theme="1"/>
      <name val="Webdings"/>
      <family val="1"/>
      <charset val="2"/>
    </font>
    <font>
      <sz val="10"/>
      <color rgb="FF000000"/>
      <name val="Arial"/>
      <family val="2"/>
      <charset val="238"/>
    </font>
    <font>
      <sz val="9"/>
      <name val="Arial"/>
      <family val="2"/>
      <charset val="238"/>
      <scheme val="minor"/>
    </font>
    <font>
      <sz val="11"/>
      <color theme="1"/>
      <name val="Arial"/>
      <family val="2"/>
      <charset val="238"/>
      <scheme val="minor"/>
    </font>
    <font>
      <u/>
      <sz val="10"/>
      <color rgb="FF0000FF"/>
      <name val="Arial"/>
      <family val="2"/>
      <charset val="238"/>
      <scheme val="minor"/>
    </font>
    <font>
      <u/>
      <sz val="10"/>
      <color theme="10"/>
      <name val="Arial"/>
      <family val="2"/>
      <charset val="238"/>
    </font>
    <font>
      <u/>
      <sz val="10"/>
      <color rgb="FF0000FF"/>
      <name val="Arial"/>
      <family val="2"/>
      <charset val="238"/>
    </font>
    <font>
      <u/>
      <sz val="9"/>
      <color rgb="FF0000FF"/>
      <name val="Arial"/>
      <family val="2"/>
      <charset val="238"/>
      <scheme val="minor"/>
    </font>
    <font>
      <sz val="9"/>
      <color rgb="FF000000"/>
      <name val="Arial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9E7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2F2F2"/>
        <bgColor rgb="FFF2F2F2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theme="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2"/>
      </bottom>
      <diagonal/>
    </border>
    <border>
      <left style="thin">
        <color indexed="64"/>
      </left>
      <right style="thin">
        <color indexed="64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thin">
        <color indexed="64"/>
      </right>
      <top style="thin">
        <color theme="2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indexed="64"/>
      </bottom>
      <diagonal/>
    </border>
  </borders>
  <cellStyleXfs count="12">
    <xf numFmtId="0" fontId="0" fillId="0" borderId="0"/>
    <xf numFmtId="0" fontId="1" fillId="0" borderId="0"/>
    <xf numFmtId="0" fontId="1" fillId="0" borderId="0"/>
    <xf numFmtId="0" fontId="11" fillId="0" borderId="0"/>
    <xf numFmtId="0" fontId="13" fillId="0" borderId="0"/>
    <xf numFmtId="0" fontId="21" fillId="0" borderId="0" applyNumberFormat="0" applyBorder="0" applyAlignment="0"/>
    <xf numFmtId="0" fontId="10" fillId="0" borderId="0"/>
    <xf numFmtId="0" fontId="23" fillId="0" borderId="0" applyNumberFormat="0" applyFill="0" applyBorder="0" applyAlignment="0" applyProtection="0"/>
    <xf numFmtId="0" fontId="11" fillId="0" borderId="0"/>
    <xf numFmtId="0" fontId="26" fillId="0" borderId="0" applyNumberFormat="0" applyBorder="0" applyProtection="0"/>
    <xf numFmtId="9" fontId="28" fillId="0" borderId="0" applyFont="0" applyFill="0" applyBorder="0" applyAlignment="0" applyProtection="0"/>
    <xf numFmtId="0" fontId="23" fillId="0" borderId="0" applyNumberFormat="0" applyFill="0" applyBorder="0" applyAlignment="0" applyProtection="0"/>
  </cellStyleXfs>
  <cellXfs count="184">
    <xf numFmtId="0" fontId="0" fillId="0" borderId="0" xfId="0"/>
    <xf numFmtId="0" fontId="2" fillId="0" borderId="0" xfId="0" applyFont="1" applyFill="1" applyBorder="1"/>
    <xf numFmtId="0" fontId="4" fillId="0" borderId="0" xfId="0" applyFont="1"/>
    <xf numFmtId="0" fontId="4" fillId="0" borderId="0" xfId="0" applyFont="1" applyFill="1"/>
    <xf numFmtId="3" fontId="7" fillId="0" borderId="0" xfId="1" applyNumberFormat="1" applyFont="1" applyFill="1" applyBorder="1" applyAlignment="1">
      <alignment horizontal="left"/>
    </xf>
    <xf numFmtId="3" fontId="4" fillId="0" borderId="0" xfId="0" applyNumberFormat="1" applyFont="1"/>
    <xf numFmtId="0" fontId="8" fillId="0" borderId="0" xfId="0" applyFont="1" applyFill="1" applyBorder="1" applyAlignment="1">
      <alignment horizontal="left"/>
    </xf>
    <xf numFmtId="0" fontId="7" fillId="0" borderId="0" xfId="0" applyFont="1" applyFill="1" applyBorder="1"/>
    <xf numFmtId="0" fontId="6" fillId="0" borderId="0" xfId="0" applyFont="1" applyFill="1" applyBorder="1"/>
    <xf numFmtId="0" fontId="6" fillId="0" borderId="0" xfId="0" applyFont="1"/>
    <xf numFmtId="3" fontId="6" fillId="0" borderId="0" xfId="0" applyNumberFormat="1" applyFont="1" applyAlignment="1">
      <alignment horizontal="right"/>
    </xf>
    <xf numFmtId="3" fontId="6" fillId="0" borderId="0" xfId="0" applyNumberFormat="1" applyFont="1" applyBorder="1"/>
    <xf numFmtId="3" fontId="6" fillId="0" borderId="0" xfId="0" applyNumberFormat="1" applyFont="1" applyBorder="1" applyAlignment="1">
      <alignment horizontal="right"/>
    </xf>
    <xf numFmtId="0" fontId="6" fillId="0" borderId="0" xfId="0" applyNumberFormat="1" applyFont="1"/>
    <xf numFmtId="0" fontId="6" fillId="0" borderId="0" xfId="0" applyFont="1" applyFill="1"/>
    <xf numFmtId="164" fontId="4" fillId="0" borderId="0" xfId="0" applyNumberFormat="1" applyFont="1"/>
    <xf numFmtId="0" fontId="4" fillId="0" borderId="0" xfId="4" applyFont="1" applyBorder="1"/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4" fontId="3" fillId="0" borderId="0" xfId="0" applyNumberFormat="1" applyFont="1"/>
    <xf numFmtId="164" fontId="3" fillId="0" borderId="0" xfId="0" applyNumberFormat="1" applyFont="1" applyFill="1"/>
    <xf numFmtId="164" fontId="4" fillId="0" borderId="0" xfId="0" applyNumberFormat="1" applyFont="1" applyFill="1"/>
    <xf numFmtId="0" fontId="4" fillId="0" borderId="0" xfId="0" applyFont="1" applyFill="1" applyBorder="1" applyAlignment="1"/>
    <xf numFmtId="165" fontId="4" fillId="0" borderId="0" xfId="0" applyNumberFormat="1" applyFont="1"/>
    <xf numFmtId="165" fontId="4" fillId="0" borderId="0" xfId="0" applyNumberFormat="1" applyFont="1" applyFill="1"/>
    <xf numFmtId="165" fontId="17" fillId="0" borderId="0" xfId="0" applyNumberFormat="1" applyFont="1" applyAlignment="1">
      <alignment horizontal="left"/>
    </xf>
    <xf numFmtId="0" fontId="5" fillId="0" borderId="0" xfId="0" applyFont="1"/>
    <xf numFmtId="0" fontId="19" fillId="0" borderId="0" xfId="0" applyFont="1" applyFill="1" applyBorder="1"/>
    <xf numFmtId="0" fontId="0" fillId="0" borderId="0" xfId="0" applyFill="1" applyBorder="1"/>
    <xf numFmtId="166" fontId="4" fillId="0" borderId="0" xfId="0" applyNumberFormat="1" applyFont="1"/>
    <xf numFmtId="1" fontId="3" fillId="0" borderId="0" xfId="0" applyNumberFormat="1" applyFont="1" applyFill="1"/>
    <xf numFmtId="0" fontId="4" fillId="0" borderId="0" xfId="0" applyFont="1" applyBorder="1"/>
    <xf numFmtId="164" fontId="4" fillId="0" borderId="0" xfId="0" applyNumberFormat="1" applyFont="1" applyFill="1" applyBorder="1"/>
    <xf numFmtId="0" fontId="2" fillId="0" borderId="0" xfId="0" applyFont="1"/>
    <xf numFmtId="0" fontId="4" fillId="0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2" fillId="0" borderId="0" xfId="11" applyFont="1"/>
    <xf numFmtId="0" fontId="24" fillId="0" borderId="0" xfId="7" applyFont="1"/>
    <xf numFmtId="0" fontId="6" fillId="2" borderId="0" xfId="6" applyFont="1" applyFill="1"/>
    <xf numFmtId="0" fontId="6" fillId="2" borderId="0" xfId="6" applyFont="1" applyFill="1" applyAlignment="1">
      <alignment vertical="top"/>
    </xf>
    <xf numFmtId="0" fontId="6" fillId="0" borderId="0" xfId="6" applyFont="1"/>
    <xf numFmtId="0" fontId="20" fillId="3" borderId="0" xfId="6" applyFont="1" applyFill="1" applyAlignment="1">
      <alignment horizontal="left" vertical="center" wrapText="1"/>
    </xf>
    <xf numFmtId="0" fontId="6" fillId="3" borderId="0" xfId="6" applyFont="1" applyFill="1" applyAlignment="1">
      <alignment horizontal="left" vertical="center" wrapText="1"/>
    </xf>
    <xf numFmtId="0" fontId="12" fillId="2" borderId="0" xfId="6" applyFont="1" applyFill="1"/>
    <xf numFmtId="0" fontId="0" fillId="0" borderId="0" xfId="0" applyAlignment="1">
      <alignment horizontal="left"/>
    </xf>
    <xf numFmtId="0" fontId="3" fillId="0" borderId="0" xfId="0" applyFont="1" applyAlignment="1">
      <alignment horizontal="centerContinuous"/>
    </xf>
    <xf numFmtId="0" fontId="4" fillId="0" borderId="0" xfId="0" applyFont="1" applyFill="1" applyAlignment="1">
      <alignment horizontal="centerContinuous"/>
    </xf>
    <xf numFmtId="0" fontId="4" fillId="0" borderId="0" xfId="0" applyFont="1" applyAlignment="1">
      <alignment horizontal="centerContinuous"/>
    </xf>
    <xf numFmtId="0" fontId="8" fillId="0" borderId="0" xfId="6" applyFont="1" applyFill="1" applyAlignment="1">
      <alignment vertical="center" wrapText="1"/>
    </xf>
    <xf numFmtId="0" fontId="8" fillId="0" borderId="0" xfId="6" applyFont="1" applyFill="1" applyAlignment="1">
      <alignment vertical="center"/>
    </xf>
    <xf numFmtId="0" fontId="22" fillId="0" borderId="0" xfId="11" applyFont="1" applyFill="1"/>
    <xf numFmtId="0" fontId="24" fillId="0" borderId="0" xfId="7" applyFont="1" applyFill="1"/>
    <xf numFmtId="0" fontId="6" fillId="0" borderId="0" xfId="6" applyFont="1" applyFill="1" applyAlignment="1">
      <alignment vertical="center" wrapText="1"/>
    </xf>
    <xf numFmtId="0" fontId="4" fillId="0" borderId="0" xfId="0" applyFont="1" applyFill="1" applyAlignment="1">
      <alignment horizontal="center"/>
    </xf>
    <xf numFmtId="0" fontId="6" fillId="3" borderId="0" xfId="6" applyFont="1" applyFill="1" applyAlignment="1">
      <alignment vertical="center" wrapText="1"/>
    </xf>
    <xf numFmtId="0" fontId="6" fillId="3" borderId="0" xfId="6" applyFont="1" applyFill="1" applyAlignment="1">
      <alignment vertical="center"/>
    </xf>
    <xf numFmtId="0" fontId="6" fillId="3" borderId="0" xfId="6" applyFont="1" applyFill="1" applyAlignment="1">
      <alignment horizontal="left" vertical="center"/>
    </xf>
    <xf numFmtId="0" fontId="27" fillId="0" borderId="0" xfId="6" applyFont="1"/>
    <xf numFmtId="164" fontId="4" fillId="0" borderId="9" xfId="0" applyNumberFormat="1" applyFont="1" applyFill="1" applyBorder="1"/>
    <xf numFmtId="0" fontId="4" fillId="0" borderId="9" xfId="0" applyFont="1" applyFill="1" applyBorder="1" applyAlignment="1">
      <alignment horizontal="left" indent="1"/>
    </xf>
    <xf numFmtId="0" fontId="15" fillId="0" borderId="8" xfId="2" applyFont="1" applyFill="1" applyBorder="1" applyAlignment="1">
      <alignment horizontal="left" vertical="center"/>
    </xf>
    <xf numFmtId="164" fontId="3" fillId="0" borderId="8" xfId="0" applyNumberFormat="1" applyFont="1" applyFill="1" applyBorder="1"/>
    <xf numFmtId="164" fontId="3" fillId="0" borderId="8" xfId="0" applyNumberFormat="1" applyFont="1" applyBorder="1"/>
    <xf numFmtId="0" fontId="16" fillId="0" borderId="9" xfId="2" applyFont="1" applyFill="1" applyBorder="1" applyAlignment="1">
      <alignment horizontal="left" vertical="center" wrapText="1" indent="1"/>
    </xf>
    <xf numFmtId="164" fontId="4" fillId="0" borderId="9" xfId="0" applyNumberFormat="1" applyFont="1" applyBorder="1"/>
    <xf numFmtId="0" fontId="4" fillId="0" borderId="9" xfId="0" applyFont="1" applyBorder="1" applyAlignment="1">
      <alignment horizontal="left" indent="1"/>
    </xf>
    <xf numFmtId="0" fontId="4" fillId="0" borderId="10" xfId="0" applyFont="1" applyFill="1" applyBorder="1" applyAlignment="1">
      <alignment horizontal="left" indent="1"/>
    </xf>
    <xf numFmtId="164" fontId="4" fillId="0" borderId="10" xfId="0" applyNumberFormat="1" applyFont="1" applyFill="1" applyBorder="1"/>
    <xf numFmtId="167" fontId="4" fillId="0" borderId="8" xfId="0" applyNumberFormat="1" applyFont="1" applyBorder="1"/>
    <xf numFmtId="167" fontId="4" fillId="0" borderId="9" xfId="0" applyNumberFormat="1" applyFont="1" applyBorder="1"/>
    <xf numFmtId="167" fontId="4" fillId="0" borderId="10" xfId="0" applyNumberFormat="1" applyFont="1" applyBorder="1"/>
    <xf numFmtId="0" fontId="3" fillId="0" borderId="8" xfId="0" applyFont="1" applyBorder="1"/>
    <xf numFmtId="4" fontId="3" fillId="0" borderId="8" xfId="0" applyNumberFormat="1" applyFont="1" applyBorder="1"/>
    <xf numFmtId="4" fontId="4" fillId="0" borderId="9" xfId="0" applyNumberFormat="1" applyFont="1" applyFill="1" applyBorder="1"/>
    <xf numFmtId="0" fontId="4" fillId="0" borderId="10" xfId="0" applyFont="1" applyBorder="1" applyAlignment="1">
      <alignment horizontal="left" indent="1"/>
    </xf>
    <xf numFmtId="4" fontId="4" fillId="0" borderId="10" xfId="0" applyNumberFormat="1" applyFont="1" applyFill="1" applyBorder="1"/>
    <xf numFmtId="0" fontId="15" fillId="0" borderId="11" xfId="2" applyFont="1" applyFill="1" applyBorder="1" applyAlignment="1">
      <alignment horizontal="left" vertical="center"/>
    </xf>
    <xf numFmtId="0" fontId="16" fillId="0" borderId="12" xfId="2" applyFont="1" applyFill="1" applyBorder="1" applyAlignment="1">
      <alignment horizontal="left" vertical="center" wrapText="1" indent="1"/>
    </xf>
    <xf numFmtId="0" fontId="4" fillId="0" borderId="12" xfId="0" applyFont="1" applyBorder="1" applyAlignment="1">
      <alignment horizontal="left" indent="1"/>
    </xf>
    <xf numFmtId="0" fontId="4" fillId="0" borderId="12" xfId="0" applyFont="1" applyFill="1" applyBorder="1" applyAlignment="1">
      <alignment horizontal="left" indent="1"/>
    </xf>
    <xf numFmtId="164" fontId="4" fillId="0" borderId="9" xfId="0" applyNumberFormat="1" applyFont="1" applyBorder="1" applyAlignment="1">
      <alignment horizontal="right"/>
    </xf>
    <xf numFmtId="0" fontId="4" fillId="0" borderId="13" xfId="0" applyFont="1" applyFill="1" applyBorder="1" applyAlignment="1">
      <alignment horizontal="left" indent="1"/>
    </xf>
    <xf numFmtId="0" fontId="16" fillId="0" borderId="11" xfId="2" applyFont="1" applyFill="1" applyBorder="1" applyAlignment="1">
      <alignment horizontal="left" vertical="top" indent="1"/>
    </xf>
    <xf numFmtId="0" fontId="6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left" indent="1"/>
    </xf>
    <xf numFmtId="167" fontId="4" fillId="0" borderId="1" xfId="10" applyNumberFormat="1" applyFont="1" applyBorder="1"/>
    <xf numFmtId="167" fontId="4" fillId="0" borderId="9" xfId="10" applyNumberFormat="1" applyFont="1" applyFill="1" applyBorder="1"/>
    <xf numFmtId="167" fontId="4" fillId="0" borderId="10" xfId="10" applyNumberFormat="1" applyFont="1" applyFill="1" applyBorder="1"/>
    <xf numFmtId="0" fontId="16" fillId="0" borderId="1" xfId="2" applyFont="1" applyFill="1" applyBorder="1" applyAlignment="1">
      <alignment horizontal="left" vertical="top" indent="1"/>
    </xf>
    <xf numFmtId="0" fontId="4" fillId="0" borderId="6" xfId="0" applyFont="1" applyBorder="1" applyAlignment="1">
      <alignment horizontal="left" indent="1"/>
    </xf>
    <xf numFmtId="0" fontId="4" fillId="0" borderId="7" xfId="0" applyFont="1" applyFill="1" applyBorder="1" applyAlignment="1">
      <alignment horizontal="left" indent="1"/>
    </xf>
    <xf numFmtId="0" fontId="3" fillId="4" borderId="0" xfId="6" applyFont="1" applyFill="1" applyBorder="1" applyAlignment="1"/>
    <xf numFmtId="0" fontId="4" fillId="4" borderId="0" xfId="6" applyFont="1" applyFill="1" applyBorder="1"/>
    <xf numFmtId="0" fontId="4" fillId="4" borderId="0" xfId="6" applyFont="1" applyFill="1" applyBorder="1" applyAlignment="1">
      <alignment vertical="center"/>
    </xf>
    <xf numFmtId="0" fontId="4" fillId="4" borderId="0" xfId="6" applyFont="1" applyFill="1" applyBorder="1" applyAlignment="1">
      <alignment horizontal="left" vertical="center"/>
    </xf>
    <xf numFmtId="0" fontId="29" fillId="0" borderId="0" xfId="11" applyFont="1" applyAlignment="1">
      <alignment horizontal="right"/>
    </xf>
    <xf numFmtId="0" fontId="17" fillId="0" borderId="0" xfId="0" applyFont="1"/>
    <xf numFmtId="0" fontId="18" fillId="0" borderId="0" xfId="0" applyFont="1"/>
    <xf numFmtId="0" fontId="30" fillId="0" borderId="0" xfId="11" applyFont="1" applyFill="1"/>
    <xf numFmtId="0" fontId="17" fillId="5" borderId="4" xfId="0" applyFont="1" applyFill="1" applyBorder="1" applyAlignment="1">
      <alignment horizontal="center" vertical="center"/>
    </xf>
    <xf numFmtId="0" fontId="18" fillId="5" borderId="4" xfId="0" applyFont="1" applyFill="1" applyBorder="1" applyAlignment="1">
      <alignment horizontal="left" vertical="center"/>
    </xf>
    <xf numFmtId="0" fontId="4" fillId="0" borderId="0" xfId="0" applyFont="1" applyFill="1" applyBorder="1"/>
    <xf numFmtId="4" fontId="4" fillId="0" borderId="0" xfId="0" applyNumberFormat="1" applyFont="1"/>
    <xf numFmtId="4" fontId="3" fillId="0" borderId="0" xfId="0" applyNumberFormat="1" applyFont="1" applyBorder="1"/>
    <xf numFmtId="4" fontId="4" fillId="0" borderId="0" xfId="0" applyNumberFormat="1" applyFont="1" applyFill="1" applyBorder="1"/>
    <xf numFmtId="167" fontId="4" fillId="0" borderId="0" xfId="0" applyNumberFormat="1" applyFont="1" applyBorder="1"/>
    <xf numFmtId="4" fontId="4" fillId="0" borderId="0" xfId="0" applyNumberFormat="1" applyFont="1" applyBorder="1"/>
    <xf numFmtId="0" fontId="3" fillId="0" borderId="8" xfId="0" applyFont="1" applyFill="1" applyBorder="1" applyAlignment="1">
      <alignment wrapText="1"/>
    </xf>
    <xf numFmtId="3" fontId="3" fillId="0" borderId="8" xfId="0" applyNumberFormat="1" applyFont="1" applyFill="1" applyBorder="1"/>
    <xf numFmtId="0" fontId="3" fillId="0" borderId="9" xfId="0" applyFont="1" applyFill="1" applyBorder="1"/>
    <xf numFmtId="164" fontId="3" fillId="0" borderId="9" xfId="0" applyNumberFormat="1" applyFont="1" applyFill="1" applyBorder="1"/>
    <xf numFmtId="0" fontId="4" fillId="0" borderId="9" xfId="0" applyFont="1" applyFill="1" applyBorder="1"/>
    <xf numFmtId="164" fontId="4" fillId="0" borderId="9" xfId="0" applyNumberFormat="1" applyFont="1" applyFill="1" applyBorder="1" applyAlignment="1">
      <alignment horizontal="right"/>
    </xf>
    <xf numFmtId="0" fontId="4" fillId="0" borderId="9" xfId="0" applyFont="1" applyFill="1" applyBorder="1" applyAlignment="1">
      <alignment horizontal="left" indent="2"/>
    </xf>
    <xf numFmtId="0" fontId="3" fillId="0" borderId="10" xfId="0" applyFont="1" applyFill="1" applyBorder="1"/>
    <xf numFmtId="0" fontId="3" fillId="0" borderId="8" xfId="0" applyFont="1" applyFill="1" applyBorder="1"/>
    <xf numFmtId="164" fontId="3" fillId="0" borderId="10" xfId="0" applyNumberFormat="1" applyFont="1" applyFill="1" applyBorder="1"/>
    <xf numFmtId="0" fontId="6" fillId="0" borderId="0" xfId="0" applyFont="1" applyBorder="1"/>
    <xf numFmtId="0" fontId="3" fillId="0" borderId="0" xfId="0" applyFont="1" applyFill="1" applyBorder="1" applyAlignment="1">
      <alignment wrapText="1"/>
    </xf>
    <xf numFmtId="3" fontId="3" fillId="0" borderId="0" xfId="0" applyNumberFormat="1" applyFont="1" applyFill="1" applyBorder="1"/>
    <xf numFmtId="0" fontId="3" fillId="0" borderId="0" xfId="0" applyFont="1" applyFill="1" applyBorder="1"/>
    <xf numFmtId="164" fontId="3" fillId="0" borderId="0" xfId="0" applyNumberFormat="1" applyFont="1" applyFill="1" applyBorder="1"/>
    <xf numFmtId="0" fontId="4" fillId="0" borderId="0" xfId="0" applyFont="1" applyFill="1" applyBorder="1" applyAlignment="1">
      <alignment horizontal="left" indent="1"/>
    </xf>
    <xf numFmtId="164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 applyAlignment="1">
      <alignment horizontal="left" indent="2"/>
    </xf>
    <xf numFmtId="0" fontId="4" fillId="0" borderId="0" xfId="0" applyFont="1" applyBorder="1" applyAlignment="1">
      <alignment vertical="center" wrapText="1"/>
    </xf>
    <xf numFmtId="0" fontId="6" fillId="0" borderId="0" xfId="0" applyFont="1" applyBorder="1" applyAlignment="1">
      <alignment wrapText="1"/>
    </xf>
    <xf numFmtId="0" fontId="32" fillId="0" borderId="0" xfId="11" applyFont="1" applyAlignment="1">
      <alignment horizontal="right"/>
    </xf>
    <xf numFmtId="164" fontId="3" fillId="0" borderId="8" xfId="0" applyNumberFormat="1" applyFont="1" applyBorder="1" applyAlignment="1">
      <alignment horizontal="right"/>
    </xf>
    <xf numFmtId="0" fontId="3" fillId="0" borderId="14" xfId="0" applyFont="1" applyFill="1" applyBorder="1" applyAlignment="1">
      <alignment wrapText="1"/>
    </xf>
    <xf numFmtId="3" fontId="20" fillId="0" borderId="14" xfId="0" applyNumberFormat="1" applyFont="1" applyFill="1" applyBorder="1"/>
    <xf numFmtId="0" fontId="3" fillId="0" borderId="15" xfId="0" applyFont="1" applyFill="1" applyBorder="1"/>
    <xf numFmtId="164" fontId="20" fillId="0" borderId="15" xfId="0" applyNumberFormat="1" applyFont="1" applyFill="1" applyBorder="1"/>
    <xf numFmtId="0" fontId="4" fillId="0" borderId="15" xfId="0" applyFont="1" applyFill="1" applyBorder="1"/>
    <xf numFmtId="164" fontId="6" fillId="0" borderId="15" xfId="0" applyNumberFormat="1" applyFont="1" applyFill="1" applyBorder="1"/>
    <xf numFmtId="0" fontId="4" fillId="0" borderId="15" xfId="0" applyFont="1" applyFill="1" applyBorder="1" applyAlignment="1">
      <alignment horizontal="left" indent="1"/>
    </xf>
    <xf numFmtId="164" fontId="6" fillId="0" borderId="15" xfId="0" applyNumberFormat="1" applyFont="1" applyFill="1" applyBorder="1" applyAlignment="1">
      <alignment horizontal="right"/>
    </xf>
    <xf numFmtId="164" fontId="20" fillId="0" borderId="15" xfId="0" applyNumberFormat="1" applyFont="1" applyFill="1" applyBorder="1" applyAlignment="1">
      <alignment horizontal="right"/>
    </xf>
    <xf numFmtId="0" fontId="4" fillId="0" borderId="15" xfId="0" applyFont="1" applyFill="1" applyBorder="1" applyAlignment="1">
      <alignment horizontal="left" indent="2"/>
    </xf>
    <xf numFmtId="0" fontId="6" fillId="0" borderId="15" xfId="0" applyFont="1" applyFill="1" applyBorder="1" applyAlignment="1">
      <alignment horizontal="left" indent="1"/>
    </xf>
    <xf numFmtId="0" fontId="3" fillId="0" borderId="16" xfId="0" applyFont="1" applyFill="1" applyBorder="1"/>
    <xf numFmtId="164" fontId="20" fillId="0" borderId="16" xfId="0" applyNumberFormat="1" applyFont="1" applyFill="1" applyBorder="1" applyAlignment="1">
      <alignment horizontal="right"/>
    </xf>
    <xf numFmtId="164" fontId="20" fillId="0" borderId="16" xfId="0" applyNumberFormat="1" applyFont="1" applyFill="1" applyBorder="1"/>
    <xf numFmtId="0" fontId="4" fillId="0" borderId="14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4" fillId="0" borderId="16" xfId="0" applyFont="1" applyBorder="1" applyAlignment="1">
      <alignment horizontal="left"/>
    </xf>
    <xf numFmtId="0" fontId="18" fillId="0" borderId="17" xfId="0" applyFont="1" applyBorder="1" applyAlignment="1">
      <alignment vertical="center"/>
    </xf>
    <xf numFmtId="0" fontId="17" fillId="0" borderId="17" xfId="0" applyFont="1" applyBorder="1" applyAlignment="1">
      <alignment vertical="center"/>
    </xf>
    <xf numFmtId="0" fontId="31" fillId="0" borderId="17" xfId="11" applyFont="1" applyFill="1" applyBorder="1" applyAlignment="1">
      <alignment vertical="center"/>
    </xf>
    <xf numFmtId="0" fontId="18" fillId="3" borderId="18" xfId="0" applyFont="1" applyFill="1" applyBorder="1" applyAlignment="1">
      <alignment vertical="center"/>
    </xf>
    <xf numFmtId="0" fontId="17" fillId="3" borderId="18" xfId="0" applyFont="1" applyFill="1" applyBorder="1" applyAlignment="1">
      <alignment vertical="center"/>
    </xf>
    <xf numFmtId="0" fontId="31" fillId="3" borderId="18" xfId="11" applyFont="1" applyFill="1" applyBorder="1" applyAlignment="1">
      <alignment horizontal="left" vertical="center"/>
    </xf>
    <xf numFmtId="0" fontId="18" fillId="0" borderId="18" xfId="0" applyFont="1" applyBorder="1" applyAlignment="1">
      <alignment vertical="center"/>
    </xf>
    <xf numFmtId="0" fontId="17" fillId="0" borderId="18" xfId="0" applyFont="1" applyBorder="1" applyAlignment="1">
      <alignment vertical="center"/>
    </xf>
    <xf numFmtId="0" fontId="31" fillId="0" borderId="18" xfId="11" applyFont="1" applyFill="1" applyBorder="1" applyAlignment="1">
      <alignment vertical="center"/>
    </xf>
    <xf numFmtId="0" fontId="18" fillId="3" borderId="19" xfId="0" applyFont="1" applyFill="1" applyBorder="1" applyAlignment="1">
      <alignment vertical="center"/>
    </xf>
    <xf numFmtId="0" fontId="17" fillId="3" borderId="19" xfId="0" applyFont="1" applyFill="1" applyBorder="1" applyAlignment="1">
      <alignment vertical="center"/>
    </xf>
    <xf numFmtId="0" fontId="31" fillId="3" borderId="19" xfId="11" applyFont="1" applyFill="1" applyBorder="1" applyAlignment="1">
      <alignment horizontal="left" vertical="center"/>
    </xf>
    <xf numFmtId="0" fontId="2" fillId="4" borderId="0" xfId="8" applyFont="1" applyFill="1" applyAlignment="1">
      <alignment horizontal="center" vertical="center" wrapText="1"/>
    </xf>
    <xf numFmtId="0" fontId="2" fillId="4" borderId="0" xfId="8" applyFont="1" applyFill="1" applyAlignment="1">
      <alignment horizontal="center" vertical="center"/>
    </xf>
    <xf numFmtId="0" fontId="6" fillId="4" borderId="0" xfId="6" applyFont="1" applyFill="1" applyAlignment="1">
      <alignment vertical="center" wrapText="1"/>
    </xf>
    <xf numFmtId="0" fontId="6" fillId="3" borderId="0" xfId="8" applyFont="1" applyFill="1" applyBorder="1" applyAlignment="1">
      <alignment horizontal="left" vertical="center" wrapText="1"/>
    </xf>
    <xf numFmtId="0" fontId="33" fillId="6" borderId="0" xfId="8" applyFont="1" applyFill="1" applyAlignment="1">
      <alignment horizontal="left" vertical="center" wrapText="1"/>
    </xf>
    <xf numFmtId="0" fontId="8" fillId="4" borderId="0" xfId="6" applyFont="1" applyFill="1" applyAlignment="1">
      <alignment vertical="center" wrapText="1"/>
    </xf>
    <xf numFmtId="0" fontId="8" fillId="4" borderId="0" xfId="6" applyFont="1" applyFill="1" applyAlignment="1">
      <alignment vertical="center"/>
    </xf>
    <xf numFmtId="0" fontId="20" fillId="3" borderId="0" xfId="6" applyFont="1" applyFill="1" applyAlignment="1">
      <alignment horizontal="left"/>
    </xf>
    <xf numFmtId="0" fontId="6" fillId="3" borderId="0" xfId="6" applyFont="1" applyFill="1" applyAlignment="1">
      <alignment horizontal="left" vertical="center" wrapText="1"/>
    </xf>
    <xf numFmtId="0" fontId="20" fillId="3" borderId="0" xfId="6" applyFont="1" applyFill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vertical="center"/>
    </xf>
  </cellXfs>
  <cellStyles count="12">
    <cellStyle name="Hypertextové prepojenie" xfId="11"/>
    <cellStyle name="Hypertextové prepojenie 2" xfId="7"/>
    <cellStyle name="Normálna 2" xfId="6"/>
    <cellStyle name="Normálna 3" xfId="8"/>
    <cellStyle name="Normálna 3 2" xfId="4"/>
    <cellStyle name="Normálne 2" xfId="3"/>
    <cellStyle name="Normálne 2 4" xfId="5"/>
    <cellStyle name="Normálne 6" xfId="9"/>
    <cellStyle name="Normálne_E01E02-2013-T512 2" xfId="2"/>
    <cellStyle name="Normálne_Hárok3" xfId="1"/>
    <cellStyle name="Normální" xfId="0" builtinId="0"/>
    <cellStyle name="Procenta" xfId="10" builtinId="5"/>
  </cellStyles>
  <dxfs count="0"/>
  <tableStyles count="0" defaultTableStyle="TableStyleMedium2" defaultPivotStyle="PivotStyleLight16"/>
  <colors>
    <mruColors>
      <color rgb="FFC9E7FF"/>
      <color rgb="FFF09D24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sk-SK" sz="1000" b="1"/>
              <a:t>G 1 Štruktúra nákladov podľa formy poskytovanej zdravotnej starostlivosti v roku 2020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cs-CZ"/>
        </a:p>
      </c:txPr>
    </c:title>
    <c:autoTitleDeleted val="0"/>
    <c:plotArea>
      <c:layout>
        <c:manualLayout>
          <c:layoutTarget val="inner"/>
          <c:xMode val="edge"/>
          <c:yMode val="edge"/>
          <c:x val="0.14507181069958847"/>
          <c:y val="0.13301829883999763"/>
          <c:w val="0.80728353909465023"/>
          <c:h val="0.536247710376622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'G1'!$A$18</c:f>
              <c:strCache>
                <c:ptCount val="1"/>
                <c:pt idx="0">
                  <c:v>mzdy a odvody</c:v>
                </c:pt>
              </c:strCache>
            </c:strRef>
          </c:tx>
          <c:spPr>
            <a:solidFill>
              <a:schemeClr val="accent3"/>
            </a:solidFill>
            <a:ln w="3175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cs-C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'G1'!$B$5:$D$5</c:f>
              <c:strCache>
                <c:ptCount val="3"/>
                <c:pt idx="0">
                  <c:v>ambulantná
zdravotná
starostlivosť</c:v>
                </c:pt>
                <c:pt idx="1">
                  <c:v>ústavná
zdravotná
starostlivosť</c:v>
                </c:pt>
                <c:pt idx="2">
                  <c:v>lekárenská
starostlivosť</c:v>
                </c:pt>
              </c:strCache>
            </c:strRef>
          </c:cat>
          <c:val>
            <c:numRef>
              <c:f>'G1'!$B$18:$D$18</c:f>
              <c:numCache>
                <c:formatCode>0.0%</c:formatCode>
                <c:ptCount val="3"/>
                <c:pt idx="0">
                  <c:v>0.45599477760128909</c:v>
                </c:pt>
                <c:pt idx="1">
                  <c:v>0.53028146193839409</c:v>
                </c:pt>
                <c:pt idx="2">
                  <c:v>9.2763923151701025E-2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70-4B4E-8782-F09710AE6C66}"/>
            </c:ext>
          </c:extLst>
        </c:ser>
        <c:ser>
          <c:idx val="1"/>
          <c:order val="1"/>
          <c:tx>
            <c:strRef>
              <c:f>'G1'!$A$19</c:f>
              <c:strCache>
                <c:ptCount val="1"/>
                <c:pt idx="0">
                  <c:v>lieky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 w="3175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0"/>
              <c:layout>
                <c:manualLayout>
                  <c:x val="-1.1019283746556474E-2"/>
                  <c:y val="6.36694624307415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85F9-47E7-8F39-5E31DC1973FF}"/>
                </c:ext>
              </c:extLst>
            </c:dLbl>
            <c:dLbl>
              <c:idx val="2"/>
              <c:layout>
                <c:manualLayout>
                  <c:x val="4.4077134986225085E-3"/>
                  <c:y val="9.0956033858562643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C881-4066-8EA0-A1639F1DCA6B}"/>
                </c:ext>
              </c:extLst>
            </c:dLbl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cs-C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3175" cap="flat" cmpd="sng" algn="ctr">
                      <a:solidFill>
                        <a:schemeClr val="bg1">
                          <a:lumMod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'G1'!$B$5:$D$5</c:f>
              <c:strCache>
                <c:ptCount val="3"/>
                <c:pt idx="0">
                  <c:v>ambulantná
zdravotná
starostlivosť</c:v>
                </c:pt>
                <c:pt idx="1">
                  <c:v>ústavná
zdravotná
starostlivosť</c:v>
                </c:pt>
                <c:pt idx="2">
                  <c:v>lekárenská
starostlivosť</c:v>
                </c:pt>
              </c:strCache>
            </c:strRef>
          </c:cat>
          <c:val>
            <c:numRef>
              <c:f>'G1'!$B$19:$D$19</c:f>
              <c:numCache>
                <c:formatCode>0.0%</c:formatCode>
                <c:ptCount val="3"/>
                <c:pt idx="0">
                  <c:v>3.4711946846865731E-2</c:v>
                </c:pt>
                <c:pt idx="1">
                  <c:v>0.10594389285124318</c:v>
                </c:pt>
                <c:pt idx="2">
                  <c:v>0.5923802183218706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70-4B4E-8782-F09710AE6C66}"/>
            </c:ext>
          </c:extLst>
        </c:ser>
        <c:ser>
          <c:idx val="2"/>
          <c:order val="2"/>
          <c:tx>
            <c:strRef>
              <c:f>'G1'!$A$20</c:f>
              <c:strCache>
                <c:ptCount val="1"/>
                <c:pt idx="0">
                  <c:v>zdravotnícke pomôcky</c:v>
                </c:pt>
              </c:strCache>
            </c:strRef>
          </c:tx>
          <c:spPr>
            <a:solidFill>
              <a:schemeClr val="accent4">
                <a:lumMod val="90000"/>
              </a:schemeClr>
            </a:solidFill>
            <a:ln w="3175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cs-C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'G1'!$B$5:$D$5</c:f>
              <c:strCache>
                <c:ptCount val="3"/>
                <c:pt idx="0">
                  <c:v>ambulantná
zdravotná
starostlivosť</c:v>
                </c:pt>
                <c:pt idx="1">
                  <c:v>ústavná
zdravotná
starostlivosť</c:v>
                </c:pt>
                <c:pt idx="2">
                  <c:v>lekárenská
starostlivosť</c:v>
                </c:pt>
              </c:strCache>
            </c:strRef>
          </c:cat>
          <c:val>
            <c:numRef>
              <c:f>'G1'!$B$20:$D$20</c:f>
              <c:numCache>
                <c:formatCode>0.0%</c:formatCode>
                <c:ptCount val="3"/>
                <c:pt idx="0">
                  <c:v>7.2106143881779952E-2</c:v>
                </c:pt>
                <c:pt idx="1">
                  <c:v>0.11760076267140196</c:v>
                </c:pt>
                <c:pt idx="2">
                  <c:v>8.8583594776181065E-2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C70-4B4E-8782-F09710AE6C66}"/>
            </c:ext>
          </c:extLst>
        </c:ser>
        <c:ser>
          <c:idx val="3"/>
          <c:order val="3"/>
          <c:tx>
            <c:strRef>
              <c:f>'G1'!$A$21</c:f>
              <c:strCache>
                <c:ptCount val="1"/>
                <c:pt idx="0">
                  <c:v>doplnkový sortiment lekárni</c:v>
                </c:pt>
              </c:strCache>
            </c:strRef>
          </c:tx>
          <c:spPr>
            <a:solidFill>
              <a:schemeClr val="accent1"/>
            </a:solidFill>
            <a:ln w="3175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85F9-47E7-8F39-5E31DC1973F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85F9-47E7-8F39-5E31DC1973FF}"/>
                </c:ext>
              </c:extLst>
            </c:dLbl>
            <c:dLbl>
              <c:idx val="2"/>
              <c:layout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C881-4066-8EA0-A1639F1DCA6B}"/>
                </c:ext>
              </c:extLst>
            </c:dLbl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cs-C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'G1'!$B$5:$D$5</c:f>
              <c:strCache>
                <c:ptCount val="3"/>
                <c:pt idx="0">
                  <c:v>ambulantná
zdravotná
starostlivosť</c:v>
                </c:pt>
                <c:pt idx="1">
                  <c:v>ústavná
zdravotná
starostlivosť</c:v>
                </c:pt>
                <c:pt idx="2">
                  <c:v>lekárenská
starostlivosť</c:v>
                </c:pt>
              </c:strCache>
            </c:strRef>
          </c:cat>
          <c:val>
            <c:numRef>
              <c:f>'G1'!$B$21:$D$21</c:f>
              <c:numCache>
                <c:formatCode>0.0%</c:formatCode>
                <c:ptCount val="3"/>
                <c:pt idx="0">
                  <c:v>3.3244400446616593E-4</c:v>
                </c:pt>
                <c:pt idx="1">
                  <c:v>4.0266033191411936E-3</c:v>
                </c:pt>
                <c:pt idx="2">
                  <c:v>0.1213256536598623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F9-47E7-8F39-5E31DC1973FF}"/>
            </c:ext>
          </c:extLst>
        </c:ser>
        <c:ser>
          <c:idx val="4"/>
          <c:order val="4"/>
          <c:tx>
            <c:strRef>
              <c:f>'G1'!$A$22</c:f>
              <c:strCache>
                <c:ptCount val="1"/>
                <c:pt idx="0">
                  <c:v>krv a krvné výrobky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3175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1"/>
              <c:layout>
                <c:manualLayout>
                  <c:x val="-6.6115702479338928E-2"/>
                  <c:y val="6.97336754808076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9105-4B2F-A7EE-577A2598776E}"/>
                </c:ext>
              </c:extLst>
            </c:dLbl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cs-CZ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'G1'!$B$5:$D$5</c:f>
              <c:strCache>
                <c:ptCount val="3"/>
                <c:pt idx="0">
                  <c:v>ambulantná
zdravotná
starostlivosť</c:v>
                </c:pt>
                <c:pt idx="1">
                  <c:v>ústavná
zdravotná
starostlivosť</c:v>
                </c:pt>
                <c:pt idx="2">
                  <c:v>lekárenská
starostlivosť</c:v>
                </c:pt>
              </c:strCache>
            </c:strRef>
          </c:cat>
          <c:val>
            <c:numRef>
              <c:f>'G1'!$B$22:$D$22</c:f>
              <c:numCache>
                <c:formatCode>0.0%</c:formatCode>
                <c:ptCount val="3"/>
                <c:pt idx="0">
                  <c:v>9.3284109193599409E-4</c:v>
                </c:pt>
                <c:pt idx="1">
                  <c:v>9.9663145392188887E-3</c:v>
                </c:pt>
                <c:pt idx="2">
                  <c:v>8.4811276021322339E-7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F9-47E7-8F39-5E31DC1973FF}"/>
            </c:ext>
          </c:extLst>
        </c:ser>
        <c:ser>
          <c:idx val="5"/>
          <c:order val="5"/>
          <c:tx>
            <c:strRef>
              <c:f>'G1'!$A$23</c:f>
              <c:strCache>
                <c:ptCount val="1"/>
                <c:pt idx="0">
                  <c:v>odpisy</c:v>
                </c:pt>
              </c:strCache>
            </c:strRef>
          </c:tx>
          <c:spPr>
            <a:solidFill>
              <a:schemeClr val="accent2">
                <a:lumMod val="90000"/>
              </a:schemeClr>
            </a:solidFill>
            <a:ln w="3175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0"/>
              <c:layout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85F9-47E7-8F39-5E31DC1973FF}"/>
                </c:ext>
              </c:extLst>
            </c:dLbl>
            <c:dLbl>
              <c:idx val="1"/>
              <c:layout>
                <c:manualLayout>
                  <c:x val="-5.5096418732782371E-2"/>
                  <c:y val="0.1061170439432233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5-85F9-47E7-8F39-5E31DC1973FF}"/>
                </c:ext>
              </c:extLst>
            </c:dLbl>
            <c:dLbl>
              <c:idx val="2"/>
              <c:layout>
                <c:manualLayout>
                  <c:x val="-6.6115702479340463E-3"/>
                  <c:y val="7.57969336118831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6-85F9-47E7-8F39-5E31DC1973FF}"/>
                </c:ext>
              </c:extLst>
            </c:dLbl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cs-C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'G1'!$B$5:$D$5</c:f>
              <c:strCache>
                <c:ptCount val="3"/>
                <c:pt idx="0">
                  <c:v>ambulantná
zdravotná
starostlivosť</c:v>
                </c:pt>
                <c:pt idx="1">
                  <c:v>ústavná
zdravotná
starostlivosť</c:v>
                </c:pt>
                <c:pt idx="2">
                  <c:v>lekárenská
starostlivosť</c:v>
                </c:pt>
              </c:strCache>
            </c:strRef>
          </c:cat>
          <c:val>
            <c:numRef>
              <c:f>'G1'!$B$23:$D$23</c:f>
              <c:numCache>
                <c:formatCode>0.0%</c:formatCode>
                <c:ptCount val="3"/>
                <c:pt idx="0">
                  <c:v>6.9921997764194499E-2</c:v>
                </c:pt>
                <c:pt idx="1">
                  <c:v>3.6189054528810848E-2</c:v>
                </c:pt>
                <c:pt idx="2">
                  <c:v>1.0435854913847471E-2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5F9-47E7-8F39-5E31DC1973FF}"/>
            </c:ext>
          </c:extLst>
        </c:ser>
        <c:ser>
          <c:idx val="6"/>
          <c:order val="6"/>
          <c:tx>
            <c:strRef>
              <c:f>'G1'!$A$24</c:f>
              <c:strCache>
                <c:ptCount val="1"/>
                <c:pt idx="0">
                  <c:v>spotrebu energie</c:v>
                </c:pt>
              </c:strCache>
            </c:strRef>
          </c:tx>
          <c:spPr>
            <a:solidFill>
              <a:schemeClr val="accent5"/>
            </a:solidFill>
            <a:ln w="3175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0"/>
              <c:layout>
                <c:manualLayout>
                  <c:x val="-2.4242424242424242E-2"/>
                  <c:y val="6.97331980213123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4-85F9-47E7-8F39-5E31DC1973FF}"/>
                </c:ext>
              </c:extLst>
            </c:dLbl>
            <c:dLbl>
              <c:idx val="1"/>
              <c:layout>
                <c:manualLayout>
                  <c:x val="2.2038567493112946E-3"/>
                  <c:y val="0.1000518759741665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8-85F9-47E7-8F39-5E31DC1973F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7-85F9-47E7-8F39-5E31DC1973FF}"/>
                </c:ext>
              </c:extLst>
            </c:dLbl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cs-C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'G1'!$B$5:$D$5</c:f>
              <c:strCache>
                <c:ptCount val="3"/>
                <c:pt idx="0">
                  <c:v>ambulantná
zdravotná
starostlivosť</c:v>
                </c:pt>
                <c:pt idx="1">
                  <c:v>ústavná
zdravotná
starostlivosť</c:v>
                </c:pt>
                <c:pt idx="2">
                  <c:v>lekárenská
starostlivosť</c:v>
                </c:pt>
              </c:strCache>
            </c:strRef>
          </c:cat>
          <c:val>
            <c:numRef>
              <c:f>'G1'!$B$24:$D$24</c:f>
              <c:numCache>
                <c:formatCode>0.0%</c:formatCode>
                <c:ptCount val="3"/>
                <c:pt idx="0">
                  <c:v>1.3658098345046851E-2</c:v>
                </c:pt>
                <c:pt idx="1">
                  <c:v>1.8881546376106173E-2</c:v>
                </c:pt>
                <c:pt idx="2">
                  <c:v>3.3529827511548822E-3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5F9-47E7-8F39-5E31DC1973FF}"/>
            </c:ext>
          </c:extLst>
        </c:ser>
        <c:ser>
          <c:idx val="7"/>
          <c:order val="7"/>
          <c:tx>
            <c:strRef>
              <c:f>'G1'!$A$25</c:f>
              <c:strCache>
                <c:ptCount val="1"/>
                <c:pt idx="0">
                  <c:v>stravovanie pacientov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3175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elete val="1"/>
            <c:extLst/>
          </c:dLbls>
          <c:cat>
            <c:strRef>
              <c:f>'G1'!$B$5:$D$5</c:f>
              <c:strCache>
                <c:ptCount val="3"/>
                <c:pt idx="0">
                  <c:v>ambulantná
zdravotná
starostlivosť</c:v>
                </c:pt>
                <c:pt idx="1">
                  <c:v>ústavná
zdravotná
starostlivosť</c:v>
                </c:pt>
                <c:pt idx="2">
                  <c:v>lekárenská
starostlivosť</c:v>
                </c:pt>
              </c:strCache>
            </c:strRef>
          </c:cat>
          <c:val>
            <c:numRef>
              <c:f>'G1'!$B$25:$D$25</c:f>
              <c:numCache>
                <c:formatCode>0.0%</c:formatCode>
                <c:ptCount val="3"/>
                <c:pt idx="0" formatCode="#\ ##0.0">
                  <c:v>0</c:v>
                </c:pt>
                <c:pt idx="1">
                  <c:v>9.3704310556776138E-3</c:v>
                </c:pt>
                <c:pt idx="2" formatCode="#\ ##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5F9-47E7-8F39-5E31DC1973FF}"/>
            </c:ext>
          </c:extLst>
        </c:ser>
        <c:ser>
          <c:idx val="8"/>
          <c:order val="8"/>
          <c:tx>
            <c:strRef>
              <c:f>'G1'!$A$26</c:f>
              <c:strCache>
                <c:ptCount val="1"/>
                <c:pt idx="0">
                  <c:v>oprava a údržba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3175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0"/>
              <c:layout>
                <c:manualLayout>
                  <c:x val="3.9669421487603225E-2"/>
                  <c:y val="7.27650658165978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85F9-47E7-8F39-5E31DC1973FF}"/>
                </c:ext>
              </c:extLst>
            </c:dLbl>
            <c:dLbl>
              <c:idx val="1"/>
              <c:layout>
                <c:manualLayout>
                  <c:x val="4.4077134986225897E-2"/>
                  <c:y val="7.276530454634544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85F9-47E7-8F39-5E31DC1973F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85F9-47E7-8F39-5E31DC1973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cs-C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'G1'!$B$5:$D$5</c:f>
              <c:strCache>
                <c:ptCount val="3"/>
                <c:pt idx="0">
                  <c:v>ambulantná
zdravotná
starostlivosť</c:v>
                </c:pt>
                <c:pt idx="1">
                  <c:v>ústavná
zdravotná
starostlivosť</c:v>
                </c:pt>
                <c:pt idx="2">
                  <c:v>lekárenská
starostlivosť</c:v>
                </c:pt>
              </c:strCache>
            </c:strRef>
          </c:cat>
          <c:val>
            <c:numRef>
              <c:f>'G1'!$B$26:$D$26</c:f>
              <c:numCache>
                <c:formatCode>0.0%</c:formatCode>
                <c:ptCount val="3"/>
                <c:pt idx="0">
                  <c:v>2.2638553067631781E-2</c:v>
                </c:pt>
                <c:pt idx="1">
                  <c:v>1.3918134123466402E-2</c:v>
                </c:pt>
                <c:pt idx="2">
                  <c:v>3.1022577223312284E-3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5F9-47E7-8F39-5E31DC1973FF}"/>
            </c:ext>
          </c:extLst>
        </c:ser>
        <c:ser>
          <c:idx val="9"/>
          <c:order val="9"/>
          <c:tx>
            <c:strRef>
              <c:f>'G1'!$A$27</c:f>
              <c:strCache>
                <c:ptCount val="1"/>
                <c:pt idx="0">
                  <c:v>ostatné náklady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cs-C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'G1'!$B$5:$D$5</c:f>
              <c:strCache>
                <c:ptCount val="3"/>
                <c:pt idx="0">
                  <c:v>ambulantná
zdravotná
starostlivosť</c:v>
                </c:pt>
                <c:pt idx="1">
                  <c:v>ústavná
zdravotná
starostlivosť</c:v>
                </c:pt>
                <c:pt idx="2">
                  <c:v>lekárenská
starostlivosť</c:v>
                </c:pt>
              </c:strCache>
            </c:strRef>
          </c:cat>
          <c:val>
            <c:numRef>
              <c:f>'G1'!$B$27:$D$27</c:f>
              <c:numCache>
                <c:formatCode>0.0%</c:formatCode>
                <c:ptCount val="3"/>
                <c:pt idx="0">
                  <c:v>0.32970319739678983</c:v>
                </c:pt>
                <c:pt idx="1">
                  <c:v>0.15382179859653969</c:v>
                </c:pt>
                <c:pt idx="2">
                  <c:v>8.8054666590291236E-2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5F9-47E7-8F39-5E31DC1973F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51103920"/>
        <c:axId val="830313968"/>
      </c:barChart>
      <c:catAx>
        <c:axId val="55110392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cs-CZ"/>
          </a:p>
        </c:txPr>
        <c:crossAx val="830313968"/>
        <c:crossesAt val="0"/>
        <c:auto val="1"/>
        <c:lblAlgn val="ctr"/>
        <c:lblOffset val="100"/>
        <c:noMultiLvlLbl val="0"/>
      </c:catAx>
      <c:valAx>
        <c:axId val="830313968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cs-CZ"/>
          </a:p>
        </c:txPr>
        <c:crossAx val="551103920"/>
        <c:crosses val="max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951666666666666"/>
          <c:y val="0.76260740740740729"/>
          <c:w val="0.8591886510054012"/>
          <c:h val="0.169427934292979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sk-SK" sz="1000" b="1"/>
              <a:t>G 2 Štruktúra výnosov podľa formy poskytovanej zdravotnej starostlivosti v roku 2020</a:t>
            </a:r>
          </a:p>
        </c:rich>
      </c:tx>
      <c:layout>
        <c:manualLayout>
          <c:xMode val="edge"/>
          <c:yMode val="edge"/>
          <c:x val="0.15602201646090536"/>
          <c:y val="1.84463094744602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cs-CZ"/>
        </a:p>
      </c:txPr>
    </c:title>
    <c:autoTitleDeleted val="0"/>
    <c:plotArea>
      <c:layout>
        <c:manualLayout>
          <c:layoutTarget val="inner"/>
          <c:xMode val="edge"/>
          <c:yMode val="edge"/>
          <c:x val="0.18272345679012345"/>
          <c:y val="0.10948073493582863"/>
          <c:w val="0.77039670781892999"/>
          <c:h val="0.64384602790461343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'G2'!$A$12</c:f>
              <c:strCache>
                <c:ptCount val="1"/>
                <c:pt idx="0">
                  <c:v>tržby od zdravotných poisťovní</c:v>
                </c:pt>
              </c:strCache>
            </c:strRef>
          </c:tx>
          <c:spPr>
            <a:solidFill>
              <a:schemeClr val="accent3"/>
            </a:solidFill>
            <a:ln w="3175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cs-CZ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'G2'!$B$5:$D$5</c:f>
              <c:strCache>
                <c:ptCount val="3"/>
                <c:pt idx="0">
                  <c:v>ambulantná
zdravotná
starostlivosť</c:v>
                </c:pt>
                <c:pt idx="1">
                  <c:v>ústavná
zdravotná
starostlivosť</c:v>
                </c:pt>
                <c:pt idx="2">
                  <c:v>lekárenská
starostlivosť</c:v>
                </c:pt>
              </c:strCache>
            </c:strRef>
          </c:cat>
          <c:val>
            <c:numRef>
              <c:f>'G2'!$B$12:$D$12</c:f>
              <c:numCache>
                <c:formatCode>0.0%</c:formatCode>
                <c:ptCount val="3"/>
                <c:pt idx="0">
                  <c:v>0.77506424633750326</c:v>
                </c:pt>
                <c:pt idx="1">
                  <c:v>0.80075450209449905</c:v>
                </c:pt>
                <c:pt idx="2">
                  <c:v>0.51598741286455252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80-4B2A-805B-13641AA53450}"/>
            </c:ext>
          </c:extLst>
        </c:ser>
        <c:ser>
          <c:idx val="1"/>
          <c:order val="1"/>
          <c:tx>
            <c:strRef>
              <c:f>'G2'!$A$13</c:f>
              <c:strCache>
                <c:ptCount val="1"/>
                <c:pt idx="0">
                  <c:v>tržby od obyvateľstva</c:v>
                </c:pt>
              </c:strCache>
            </c:strRef>
          </c:tx>
          <c:spPr>
            <a:solidFill>
              <a:schemeClr val="accent1"/>
            </a:solidFill>
            <a:ln w="3175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0"/>
              <c:numFmt formatCode="0.0\ 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bg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cs-CZ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4776-4A82-942E-D7312CFF2B41}"/>
                </c:ext>
              </c:extLst>
            </c:dLbl>
            <c:dLbl>
              <c:idx val="1"/>
              <c:layout>
                <c:manualLayout>
                  <c:x val="-4.0111316872428082E-2"/>
                  <c:y val="8.60618539675965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2380-4B2A-805B-13641AA53450}"/>
                </c:ext>
              </c:extLst>
            </c:dLbl>
            <c:dLbl>
              <c:idx val="2"/>
              <c:numFmt formatCode="0.0\ 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bg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cs-CZ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4776-4A82-942E-D7312CFF2B41}"/>
                </c:ext>
              </c:extLst>
            </c:dLbl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cs-CZ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'G2'!$B$5:$D$5</c:f>
              <c:strCache>
                <c:ptCount val="3"/>
                <c:pt idx="0">
                  <c:v>ambulantná
zdravotná
starostlivosť</c:v>
                </c:pt>
                <c:pt idx="1">
                  <c:v>ústavná
zdravotná
starostlivosť</c:v>
                </c:pt>
                <c:pt idx="2">
                  <c:v>lekárenská
starostlivosť</c:v>
                </c:pt>
              </c:strCache>
            </c:strRef>
          </c:cat>
          <c:val>
            <c:numRef>
              <c:f>'G2'!$B$13:$D$13</c:f>
              <c:numCache>
                <c:formatCode>0.0%</c:formatCode>
                <c:ptCount val="3"/>
                <c:pt idx="0">
                  <c:v>0.1509415208889188</c:v>
                </c:pt>
                <c:pt idx="1">
                  <c:v>3.0911267361637636E-2</c:v>
                </c:pt>
                <c:pt idx="2">
                  <c:v>0.43035182946589334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80-4B2A-805B-13641AA53450}"/>
            </c:ext>
          </c:extLst>
        </c:ser>
        <c:ser>
          <c:idx val="2"/>
          <c:order val="2"/>
          <c:tx>
            <c:strRef>
              <c:f>'G2'!$A$14</c:f>
              <c:strCache>
                <c:ptCount val="1"/>
                <c:pt idx="0">
                  <c:v>prevádzkové dotácie</c:v>
                </c:pt>
              </c:strCache>
            </c:strRef>
          </c:tx>
          <c:spPr>
            <a:solidFill>
              <a:schemeClr val="accent5"/>
            </a:solidFill>
            <a:ln w="3175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2380-4B2A-805B-13641AA53450}"/>
                </c:ext>
              </c:extLst>
            </c:dLbl>
            <c:dLbl>
              <c:idx val="1"/>
              <c:layout>
                <c:manualLayout>
                  <c:x val="3.6603497942386737E-2"/>
                  <c:y val="8.7930527167028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2380-4B2A-805B-13641AA5345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380-4B2A-805B-13641AA5345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cs-CZ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'G2'!$B$5:$D$5</c:f>
              <c:strCache>
                <c:ptCount val="3"/>
                <c:pt idx="0">
                  <c:v>ambulantná
zdravotná
starostlivosť</c:v>
                </c:pt>
                <c:pt idx="1">
                  <c:v>ústavná
zdravotná
starostlivosť</c:v>
                </c:pt>
                <c:pt idx="2">
                  <c:v>lekárenská
starostlivosť</c:v>
                </c:pt>
              </c:strCache>
            </c:strRef>
          </c:cat>
          <c:val>
            <c:numRef>
              <c:f>'G2'!$B$14:$D$14</c:f>
              <c:numCache>
                <c:formatCode>0.0%</c:formatCode>
                <c:ptCount val="3"/>
                <c:pt idx="0">
                  <c:v>2.9145226963230913E-3</c:v>
                </c:pt>
                <c:pt idx="1">
                  <c:v>2.9520282333312286E-2</c:v>
                </c:pt>
                <c:pt idx="2">
                  <c:v>5.110374865625769E-5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380-4B2A-805B-13641AA53450}"/>
            </c:ext>
          </c:extLst>
        </c:ser>
        <c:ser>
          <c:idx val="3"/>
          <c:order val="3"/>
          <c:tx>
            <c:strRef>
              <c:f>'G2'!$A$15</c:f>
              <c:strCache>
                <c:ptCount val="1"/>
                <c:pt idx="0">
                  <c:v>ostatné výnosy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 w="3175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0"/>
              <c:layout>
                <c:manualLayout>
                  <c:x val="5.2263374485596705E-3"/>
                  <c:y val="6.5532989634647028E-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A498-4263-8A48-4959083B89F8}"/>
                </c:ext>
              </c:extLst>
            </c:dLbl>
            <c:dLbl>
              <c:idx val="2"/>
              <c:layout>
                <c:manualLayout>
                  <c:x val="7.8395061728395062E-3"/>
                  <c:y val="-7.6290440785986171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4776-4A82-942E-D7312CFF2B41}"/>
                </c:ext>
              </c:extLst>
            </c:dLbl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cs-CZ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'G2'!$B$5:$D$5</c:f>
              <c:strCache>
                <c:ptCount val="3"/>
                <c:pt idx="0">
                  <c:v>ambulantná
zdravotná
starostlivosť</c:v>
                </c:pt>
                <c:pt idx="1">
                  <c:v>ústavná
zdravotná
starostlivosť</c:v>
                </c:pt>
                <c:pt idx="2">
                  <c:v>lekárenská
starostlivosť</c:v>
                </c:pt>
              </c:strCache>
            </c:strRef>
          </c:cat>
          <c:val>
            <c:numRef>
              <c:f>'G2'!$B$15:$D$15</c:f>
              <c:numCache>
                <c:formatCode>0.0%</c:formatCode>
                <c:ptCount val="3"/>
                <c:pt idx="0">
                  <c:v>7.1079710077253999E-2</c:v>
                </c:pt>
                <c:pt idx="1">
                  <c:v>0.13881394821055101</c:v>
                </c:pt>
                <c:pt idx="2">
                  <c:v>5.3609653920897962E-2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380-4B2A-805B-13641AA534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30309616"/>
        <c:axId val="830308528"/>
      </c:barChart>
      <c:catAx>
        <c:axId val="83030961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cs-CZ"/>
          </a:p>
        </c:txPr>
        <c:crossAx val="830308528"/>
        <c:crosses val="autoZero"/>
        <c:auto val="1"/>
        <c:lblAlgn val="ctr"/>
        <c:lblOffset val="100"/>
        <c:noMultiLvlLbl val="0"/>
      </c:catAx>
      <c:valAx>
        <c:axId val="830308528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cs-CZ"/>
          </a:p>
        </c:txPr>
        <c:crossAx val="830309616"/>
        <c:crosses val="max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286707818930042"/>
          <c:y val="0.84923700544645442"/>
          <c:w val="0.81713292181069963"/>
          <c:h val="0.120036449448834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sk-SK" sz="1000" b="1"/>
              <a:t>G 3 Štruktúra nákladov v zariadeniach ústavnej zdravotnej starostlivosti v roku 2020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cs-CZ"/>
        </a:p>
      </c:txPr>
    </c:title>
    <c:autoTitleDeleted val="0"/>
    <c:plotArea>
      <c:layout>
        <c:manualLayout>
          <c:layoutTarget val="inner"/>
          <c:xMode val="edge"/>
          <c:yMode val="edge"/>
          <c:x val="0.18751069958847735"/>
          <c:y val="0.13381274524064074"/>
          <c:w val="0.76484465020576131"/>
          <c:h val="0.58323136428898859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'G3'!$A$18</c:f>
              <c:strCache>
                <c:ptCount val="1"/>
                <c:pt idx="0">
                  <c:v>mzdy a odvody </c:v>
                </c:pt>
              </c:strCache>
            </c:strRef>
          </c:tx>
          <c:spPr>
            <a:solidFill>
              <a:schemeClr val="accent3"/>
            </a:solidFill>
            <a:ln w="3175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cs-CZ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'G3'!$B$5:$E$5</c:f>
              <c:strCache>
                <c:ptCount val="4"/>
                <c:pt idx="0">
                  <c:v>všeobecné
a špecializované
nemocnice </c:v>
                </c:pt>
                <c:pt idx="1">
                  <c:v>fakultné
nemocnice</c:v>
                </c:pt>
                <c:pt idx="2">
                  <c:v>liečebne</c:v>
                </c:pt>
                <c:pt idx="3">
                  <c:v>ostatní
ústavní PZS 1)</c:v>
                </c:pt>
              </c:strCache>
            </c:strRef>
          </c:cat>
          <c:val>
            <c:numRef>
              <c:f>'G3'!$B$18:$E$18</c:f>
              <c:numCache>
                <c:formatCode>0.0%</c:formatCode>
                <c:ptCount val="4"/>
                <c:pt idx="0">
                  <c:v>0.5410356063113535</c:v>
                </c:pt>
                <c:pt idx="1">
                  <c:v>0.52109088022382222</c:v>
                </c:pt>
                <c:pt idx="2">
                  <c:v>0.69711434527618887</c:v>
                </c:pt>
                <c:pt idx="3">
                  <c:v>0.46224688080331133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B8-4AEB-945B-97776E20CCAF}"/>
            </c:ext>
          </c:extLst>
        </c:ser>
        <c:ser>
          <c:idx val="1"/>
          <c:order val="1"/>
          <c:tx>
            <c:strRef>
              <c:f>'G3'!$A$19</c:f>
              <c:strCache>
                <c:ptCount val="1"/>
                <c:pt idx="0">
                  <c:v>lieky 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 w="3175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2"/>
              <c:layout>
                <c:manualLayout>
                  <c:x val="-0.16460432151979673"/>
                  <c:y val="6.95973780962124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0B2F-46FA-AD6B-2A41D3A09082}"/>
                </c:ext>
              </c:extLst>
            </c:dLbl>
            <c:dLbl>
              <c:idx val="3"/>
              <c:layout>
                <c:manualLayout>
                  <c:x val="-0.21736211687870596"/>
                  <c:y val="8.05866806803036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0B2F-46FA-AD6B-2A41D3A09082}"/>
                </c:ext>
              </c:extLst>
            </c:dLbl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cs-CZ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3175" cap="flat" cmpd="sng" algn="ctr">
                      <a:solidFill>
                        <a:schemeClr val="bg1">
                          <a:lumMod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'G3'!$B$5:$E$5</c:f>
              <c:strCache>
                <c:ptCount val="4"/>
                <c:pt idx="0">
                  <c:v>všeobecné
a špecializované
nemocnice </c:v>
                </c:pt>
                <c:pt idx="1">
                  <c:v>fakultné
nemocnice</c:v>
                </c:pt>
                <c:pt idx="2">
                  <c:v>liečebne</c:v>
                </c:pt>
                <c:pt idx="3">
                  <c:v>ostatní
ústavní PZS 1)</c:v>
                </c:pt>
              </c:strCache>
            </c:strRef>
          </c:cat>
          <c:val>
            <c:numRef>
              <c:f>'G3'!$B$19:$E$19</c:f>
              <c:numCache>
                <c:formatCode>0.0%</c:formatCode>
                <c:ptCount val="4"/>
                <c:pt idx="0">
                  <c:v>8.8509604097823616E-2</c:v>
                </c:pt>
                <c:pt idx="1">
                  <c:v>0.12978330368684768</c:v>
                </c:pt>
                <c:pt idx="2">
                  <c:v>2.8143090835159562E-2</c:v>
                </c:pt>
                <c:pt idx="3">
                  <c:v>1.4646389428013266E-2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3B8-4AEB-945B-97776E20CCAF}"/>
            </c:ext>
          </c:extLst>
        </c:ser>
        <c:ser>
          <c:idx val="2"/>
          <c:order val="2"/>
          <c:tx>
            <c:strRef>
              <c:f>'G3'!$A$20</c:f>
              <c:strCache>
                <c:ptCount val="1"/>
                <c:pt idx="0">
                  <c:v>zdravotnícke pomôcky</c:v>
                </c:pt>
              </c:strCache>
            </c:strRef>
          </c:tx>
          <c:spPr>
            <a:solidFill>
              <a:schemeClr val="accent4">
                <a:lumMod val="90000"/>
              </a:schemeClr>
            </a:solidFill>
            <a:ln w="3175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2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0B2F-46FA-AD6B-2A41D3A09082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0B2F-46FA-AD6B-2A41D3A090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cs-C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3175" cap="flat" cmpd="sng" algn="ctr">
                      <a:solidFill>
                        <a:schemeClr val="bg1">
                          <a:lumMod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'G3'!$B$5:$E$5</c:f>
              <c:strCache>
                <c:ptCount val="4"/>
                <c:pt idx="0">
                  <c:v>všeobecné
a špecializované
nemocnice </c:v>
                </c:pt>
                <c:pt idx="1">
                  <c:v>fakultné
nemocnice</c:v>
                </c:pt>
                <c:pt idx="2">
                  <c:v>liečebne</c:v>
                </c:pt>
                <c:pt idx="3">
                  <c:v>ostatní
ústavní PZS 1)</c:v>
                </c:pt>
              </c:strCache>
            </c:strRef>
          </c:cat>
          <c:val>
            <c:numRef>
              <c:f>'G3'!$B$20:$E$20</c:f>
              <c:numCache>
                <c:formatCode>0.0%</c:formatCode>
                <c:ptCount val="4"/>
                <c:pt idx="0">
                  <c:v>0.12339958391134769</c:v>
                </c:pt>
                <c:pt idx="1">
                  <c:v>0.12013008316798972</c:v>
                </c:pt>
                <c:pt idx="2">
                  <c:v>7.5066363261419074E-3</c:v>
                </c:pt>
                <c:pt idx="3">
                  <c:v>6.4500703141169968E-3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3B8-4AEB-945B-97776E20CCAF}"/>
            </c:ext>
          </c:extLst>
        </c:ser>
        <c:ser>
          <c:idx val="3"/>
          <c:order val="3"/>
          <c:tx>
            <c:strRef>
              <c:f>'G3'!$A$21</c:f>
              <c:strCache>
                <c:ptCount val="1"/>
                <c:pt idx="0">
                  <c:v>doplnkový sortiment lekárni</c:v>
                </c:pt>
              </c:strCache>
            </c:strRef>
          </c:tx>
          <c:spPr>
            <a:solidFill>
              <a:schemeClr val="accent1"/>
            </a:solidFill>
            <a:ln w="3175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'G3'!$B$5:$E$5</c:f>
              <c:strCache>
                <c:ptCount val="4"/>
                <c:pt idx="0">
                  <c:v>všeobecné
a špecializované
nemocnice </c:v>
                </c:pt>
                <c:pt idx="1">
                  <c:v>fakultné
nemocnice</c:v>
                </c:pt>
                <c:pt idx="2">
                  <c:v>liečebne</c:v>
                </c:pt>
                <c:pt idx="3">
                  <c:v>ostatní
ústavní PZS 1)</c:v>
                </c:pt>
              </c:strCache>
            </c:strRef>
          </c:cat>
          <c:val>
            <c:numRef>
              <c:f>'G3'!$B$21:$E$21</c:f>
              <c:numCache>
                <c:formatCode>0.0%</c:formatCode>
                <c:ptCount val="4"/>
                <c:pt idx="0">
                  <c:v>6.931276334364949E-3</c:v>
                </c:pt>
                <c:pt idx="1">
                  <c:v>1.3359248420293658E-3</c:v>
                </c:pt>
                <c:pt idx="2" formatCode="#\ ##0.0">
                  <c:v>0</c:v>
                </c:pt>
                <c:pt idx="3">
                  <c:v>1.988948717168283E-3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3B8-4AEB-945B-97776E20CCAF}"/>
            </c:ext>
          </c:extLst>
        </c:ser>
        <c:ser>
          <c:idx val="4"/>
          <c:order val="4"/>
          <c:tx>
            <c:strRef>
              <c:f>'G3'!$A$22</c:f>
              <c:strCache>
                <c:ptCount val="1"/>
                <c:pt idx="0">
                  <c:v>krv a krvné výrobky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3175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63B8-4AEB-945B-97776E20CCAF}"/>
                </c:ext>
              </c:extLst>
            </c:dLbl>
            <c:dLbl>
              <c:idx val="1"/>
              <c:layout>
                <c:manualLayout>
                  <c:x val="-4.2206236287127365E-2"/>
                  <c:y val="5.860807551212126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63B8-4AEB-945B-97776E20CCA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63B8-4AEB-945B-97776E20CCA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63B8-4AEB-945B-97776E20CC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cs-C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3175" cap="flat" cmpd="sng" algn="ctr">
                      <a:solidFill>
                        <a:schemeClr val="bg1">
                          <a:lumMod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'G3'!$B$5:$E$5</c:f>
              <c:strCache>
                <c:ptCount val="4"/>
                <c:pt idx="0">
                  <c:v>všeobecné
a špecializované
nemocnice </c:v>
                </c:pt>
                <c:pt idx="1">
                  <c:v>fakultné
nemocnice</c:v>
                </c:pt>
                <c:pt idx="2">
                  <c:v>liečebne</c:v>
                </c:pt>
                <c:pt idx="3">
                  <c:v>ostatní
ústavní PZS 1)</c:v>
                </c:pt>
              </c:strCache>
            </c:strRef>
          </c:cat>
          <c:val>
            <c:numRef>
              <c:f>'G3'!$B$22:$E$22</c:f>
              <c:numCache>
                <c:formatCode>0.0%</c:formatCode>
                <c:ptCount val="4"/>
                <c:pt idx="0">
                  <c:v>8.495857348204695E-3</c:v>
                </c:pt>
                <c:pt idx="1">
                  <c:v>1.2162763961072295E-2</c:v>
                </c:pt>
                <c:pt idx="2">
                  <c:v>4.0541020362496686E-5</c:v>
                </c:pt>
                <c:pt idx="3" formatCode="#\ ##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63B8-4AEB-945B-97776E20CCAF}"/>
            </c:ext>
          </c:extLst>
        </c:ser>
        <c:ser>
          <c:idx val="5"/>
          <c:order val="5"/>
          <c:tx>
            <c:strRef>
              <c:f>'G3'!$A$23</c:f>
              <c:strCache>
                <c:ptCount val="1"/>
                <c:pt idx="0">
                  <c:v>odpisy </c:v>
                </c:pt>
              </c:strCache>
            </c:strRef>
          </c:tx>
          <c:spPr>
            <a:solidFill>
              <a:schemeClr val="accent2">
                <a:lumMod val="90000"/>
              </a:schemeClr>
            </a:solidFill>
            <a:ln w="3175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2"/>
              <c:layout>
                <c:manualLayout>
                  <c:x val="-2.743405358663294E-2"/>
                  <c:y val="6.593466180227337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3-63B8-4AEB-945B-97776E20CC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cs-C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3175" cap="flat" cmpd="sng" algn="ctr">
                      <a:solidFill>
                        <a:schemeClr val="bg1">
                          <a:lumMod val="65000"/>
                        </a:schemeClr>
                      </a:solidFill>
                      <a:round/>
                    </a:ln>
                    <a:effectLst>
                      <a:softEdge rad="0"/>
                    </a:effectLst>
                  </c:spPr>
                </c15:leaderLines>
              </c:ext>
            </c:extLst>
          </c:dLbls>
          <c:cat>
            <c:strRef>
              <c:f>'G3'!$B$5:$E$5</c:f>
              <c:strCache>
                <c:ptCount val="4"/>
                <c:pt idx="0">
                  <c:v>všeobecné
a špecializované
nemocnice </c:v>
                </c:pt>
                <c:pt idx="1">
                  <c:v>fakultné
nemocnice</c:v>
                </c:pt>
                <c:pt idx="2">
                  <c:v>liečebne</c:v>
                </c:pt>
                <c:pt idx="3">
                  <c:v>ostatní
ústavní PZS 1)</c:v>
                </c:pt>
              </c:strCache>
            </c:strRef>
          </c:cat>
          <c:val>
            <c:numRef>
              <c:f>'G3'!$B$23:$E$23</c:f>
              <c:numCache>
                <c:formatCode>0.0%</c:formatCode>
                <c:ptCount val="4"/>
                <c:pt idx="0">
                  <c:v>3.3186499265725811E-2</c:v>
                </c:pt>
                <c:pt idx="1">
                  <c:v>3.6786819291655892E-2</c:v>
                </c:pt>
                <c:pt idx="2">
                  <c:v>3.9938755812500545E-2</c:v>
                </c:pt>
                <c:pt idx="3">
                  <c:v>7.535952876611221E-2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63B8-4AEB-945B-97776E20CCAF}"/>
            </c:ext>
          </c:extLst>
        </c:ser>
        <c:ser>
          <c:idx val="6"/>
          <c:order val="6"/>
          <c:tx>
            <c:strRef>
              <c:f>'G3'!$A$24</c:f>
              <c:strCache>
                <c:ptCount val="1"/>
                <c:pt idx="0">
                  <c:v>stravovanie pacientov </c:v>
                </c:pt>
              </c:strCache>
            </c:strRef>
          </c:tx>
          <c:spPr>
            <a:solidFill>
              <a:schemeClr val="accent5"/>
            </a:solidFill>
            <a:ln w="3175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0B2F-46FA-AD6B-2A41D3A0908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7-63B8-4AEB-945B-97776E20CC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cs-C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3175" cap="flat" cmpd="sng" algn="ctr">
                      <a:solidFill>
                        <a:schemeClr val="bg1">
                          <a:lumMod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'G3'!$B$5:$E$5</c:f>
              <c:strCache>
                <c:ptCount val="4"/>
                <c:pt idx="0">
                  <c:v>všeobecné
a špecializované
nemocnice </c:v>
                </c:pt>
                <c:pt idx="1">
                  <c:v>fakultné
nemocnice</c:v>
                </c:pt>
                <c:pt idx="2">
                  <c:v>liečebne</c:v>
                </c:pt>
                <c:pt idx="3">
                  <c:v>ostatní
ústavní PZS 1)</c:v>
                </c:pt>
              </c:strCache>
            </c:strRef>
          </c:cat>
          <c:val>
            <c:numRef>
              <c:f>'G3'!$B$24:$E$24</c:f>
              <c:numCache>
                <c:formatCode>0.0%</c:formatCode>
                <c:ptCount val="4"/>
                <c:pt idx="0">
                  <c:v>7.0334834696590782E-3</c:v>
                </c:pt>
                <c:pt idx="1">
                  <c:v>6.758483505361036E-3</c:v>
                </c:pt>
                <c:pt idx="2">
                  <c:v>4.0471693501171357E-2</c:v>
                </c:pt>
                <c:pt idx="3">
                  <c:v>8.458208915923475E-2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63B8-4AEB-945B-97776E20CCAF}"/>
            </c:ext>
          </c:extLst>
        </c:ser>
        <c:ser>
          <c:idx val="7"/>
          <c:order val="7"/>
          <c:tx>
            <c:strRef>
              <c:f>'G3'!$A$25</c:f>
              <c:strCache>
                <c:ptCount val="1"/>
                <c:pt idx="0">
                  <c:v>spotreba energie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3175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0"/>
              <c:layout>
                <c:manualLayout>
                  <c:x val="-2.9544365400989155E-2"/>
                  <c:y val="6.959795494734935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B-63B8-4AEB-945B-97776E20CCAF}"/>
                </c:ext>
              </c:extLst>
            </c:dLbl>
            <c:dLbl>
              <c:idx val="1"/>
              <c:layout>
                <c:manualLayout>
                  <c:x val="-1.5475441198329406E-16"/>
                  <c:y val="5.494507079261371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C-63B8-4AEB-945B-97776E20CCAF}"/>
                </c:ext>
              </c:extLst>
            </c:dLbl>
            <c:dLbl>
              <c:idx val="2"/>
              <c:layout>
                <c:manualLayout>
                  <c:x val="-4.2206236287127361E-3"/>
                  <c:y val="6.593437337670490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D-63B8-4AEB-945B-97776E20CC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cs-C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'G3'!$B$5:$E$5</c:f>
              <c:strCache>
                <c:ptCount val="4"/>
                <c:pt idx="0">
                  <c:v>všeobecné
a špecializované
nemocnice </c:v>
                </c:pt>
                <c:pt idx="1">
                  <c:v>fakultné
nemocnice</c:v>
                </c:pt>
                <c:pt idx="2">
                  <c:v>liečebne</c:v>
                </c:pt>
                <c:pt idx="3">
                  <c:v>ostatní
ústavní PZS 1)</c:v>
                </c:pt>
              </c:strCache>
            </c:strRef>
          </c:cat>
          <c:val>
            <c:numRef>
              <c:f>'G3'!$B$25:$E$25</c:f>
              <c:numCache>
                <c:formatCode>0.0%</c:formatCode>
                <c:ptCount val="4"/>
                <c:pt idx="0">
                  <c:v>1.8042295309846502E-2</c:v>
                </c:pt>
                <c:pt idx="1">
                  <c:v>1.6856805471583605E-2</c:v>
                </c:pt>
                <c:pt idx="2">
                  <c:v>2.8592721679125879E-2</c:v>
                </c:pt>
                <c:pt idx="3">
                  <c:v>6.4664892123014753E-2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63B8-4AEB-945B-97776E20CCAF}"/>
            </c:ext>
          </c:extLst>
        </c:ser>
        <c:ser>
          <c:idx val="8"/>
          <c:order val="8"/>
          <c:tx>
            <c:strRef>
              <c:f>'G3'!$A$26</c:f>
              <c:strCache>
                <c:ptCount val="1"/>
                <c:pt idx="0">
                  <c:v>oprava a údržba 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3175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0"/>
              <c:layout>
                <c:manualLayout>
                  <c:x val="2.9544365400989155E-2"/>
                  <c:y val="7.326009439015154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2C14-4029-AFE2-BF5A62675168}"/>
                </c:ext>
              </c:extLst>
            </c:dLbl>
            <c:dLbl>
              <c:idx val="1"/>
              <c:layout>
                <c:manualLayout>
                  <c:x val="5.0647483544552833E-2"/>
                  <c:y val="6.593408495113638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2C14-4029-AFE2-BF5A62675168}"/>
                </c:ext>
              </c:extLst>
            </c:dLbl>
            <c:dLbl>
              <c:idx val="2"/>
              <c:layout>
                <c:manualLayout>
                  <c:x val="3.798561265841463E-2"/>
                  <c:y val="5.494507079261365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2C14-4029-AFE2-BF5A62675168}"/>
                </c:ext>
              </c:extLst>
            </c:dLbl>
            <c:dLbl>
              <c:idx val="3"/>
              <c:layout>
                <c:manualLayout>
                  <c:x val="4.0095924472770841E-2"/>
                  <c:y val="6.593408495113638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2C14-4029-AFE2-BF5A6267516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cs-C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'G3'!$B$5:$E$5</c:f>
              <c:strCache>
                <c:ptCount val="4"/>
                <c:pt idx="0">
                  <c:v>všeobecné
a špecializované
nemocnice </c:v>
                </c:pt>
                <c:pt idx="1">
                  <c:v>fakultné
nemocnice</c:v>
                </c:pt>
                <c:pt idx="2">
                  <c:v>liečebne</c:v>
                </c:pt>
                <c:pt idx="3">
                  <c:v>ostatní
ústavní PZS 1)</c:v>
                </c:pt>
              </c:strCache>
            </c:strRef>
          </c:cat>
          <c:val>
            <c:numRef>
              <c:f>'G3'!$B$26:$E$26</c:f>
              <c:numCache>
                <c:formatCode>0.0%</c:formatCode>
                <c:ptCount val="4"/>
                <c:pt idx="0">
                  <c:v>1.4259548142914063E-2</c:v>
                </c:pt>
                <c:pt idx="1">
                  <c:v>1.302632091460558E-2</c:v>
                </c:pt>
                <c:pt idx="2">
                  <c:v>1.3914224808908134E-2</c:v>
                </c:pt>
                <c:pt idx="3">
                  <c:v>2.3297146523051308E-2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63B8-4AEB-945B-97776E20CCAF}"/>
            </c:ext>
          </c:extLst>
        </c:ser>
        <c:ser>
          <c:idx val="9"/>
          <c:order val="9"/>
          <c:tx>
            <c:strRef>
              <c:f>'G3'!$A$27</c:f>
              <c:strCache>
                <c:ptCount val="1"/>
                <c:pt idx="0">
                  <c:v>ostatné náklady 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cs-C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'G3'!$B$5:$E$5</c:f>
              <c:strCache>
                <c:ptCount val="4"/>
                <c:pt idx="0">
                  <c:v>všeobecné
a špecializované
nemocnice </c:v>
                </c:pt>
                <c:pt idx="1">
                  <c:v>fakultné
nemocnice</c:v>
                </c:pt>
                <c:pt idx="2">
                  <c:v>liečebne</c:v>
                </c:pt>
                <c:pt idx="3">
                  <c:v>ostatní
ústavní PZS 1)</c:v>
                </c:pt>
              </c:strCache>
            </c:strRef>
          </c:cat>
          <c:val>
            <c:numRef>
              <c:f>'G3'!$B$27:$E$27</c:f>
              <c:numCache>
                <c:formatCode>0.0%</c:formatCode>
                <c:ptCount val="4"/>
                <c:pt idx="0">
                  <c:v>0.15910624580875993</c:v>
                </c:pt>
                <c:pt idx="1">
                  <c:v>0.14206861493503273</c:v>
                </c:pt>
                <c:pt idx="2">
                  <c:v>0.1442779907404414</c:v>
                </c:pt>
                <c:pt idx="3">
                  <c:v>0.2667640541659772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14-4029-AFE2-BF5A62675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30305808"/>
        <c:axId val="830303088"/>
      </c:barChart>
      <c:catAx>
        <c:axId val="83030580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cs-CZ"/>
          </a:p>
        </c:txPr>
        <c:crossAx val="830303088"/>
        <c:crosses val="autoZero"/>
        <c:auto val="1"/>
        <c:lblAlgn val="ctr"/>
        <c:lblOffset val="100"/>
        <c:noMultiLvlLbl val="0"/>
      </c:catAx>
      <c:valAx>
        <c:axId val="830303088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cs-CZ"/>
          </a:p>
        </c:txPr>
        <c:crossAx val="830305808"/>
        <c:crosses val="max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576399176954732"/>
          <c:y val="0.81074879151864265"/>
          <c:w val="0.86423599733336343"/>
          <c:h val="0.157643897679299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sk-SK" sz="1000" b="1"/>
              <a:t>G 4 Štruktúra výnosov v zariadeniach ústavnej zdravotnej starostlivosti v roku 2020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cs-CZ"/>
        </a:p>
      </c:txPr>
    </c:title>
    <c:autoTitleDeleted val="0"/>
    <c:plotArea>
      <c:layout>
        <c:manualLayout>
          <c:layoutTarget val="inner"/>
          <c:xMode val="edge"/>
          <c:yMode val="edge"/>
          <c:x val="0.22236152263374487"/>
          <c:y val="0.11924465043190895"/>
          <c:w val="0.73522016460905348"/>
          <c:h val="0.64384602790461343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'G4'!$A$12</c:f>
              <c:strCache>
                <c:ptCount val="1"/>
                <c:pt idx="0">
                  <c:v>tržby od zdravotných poisťovní</c:v>
                </c:pt>
              </c:strCache>
            </c:strRef>
          </c:tx>
          <c:spPr>
            <a:solidFill>
              <a:schemeClr val="accent3"/>
            </a:solidFill>
            <a:ln w="3175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cs-CZ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'G4'!$B$5:$E$5</c:f>
              <c:strCache>
                <c:ptCount val="4"/>
                <c:pt idx="0">
                  <c:v>všeobecné
a špecializované
nemocnice </c:v>
                </c:pt>
                <c:pt idx="1">
                  <c:v>fakultné
nemocnice</c:v>
                </c:pt>
                <c:pt idx="2">
                  <c:v>liečebne</c:v>
                </c:pt>
                <c:pt idx="3">
                  <c:v>ostatní
ústavní PZS 1)</c:v>
                </c:pt>
              </c:strCache>
            </c:strRef>
          </c:cat>
          <c:val>
            <c:numRef>
              <c:f>'G4'!$B$12:$E$12</c:f>
              <c:numCache>
                <c:formatCode>0.0%</c:formatCode>
                <c:ptCount val="4"/>
                <c:pt idx="0">
                  <c:v>0.86341128010859514</c:v>
                </c:pt>
                <c:pt idx="1">
                  <c:v>0.75125140359587261</c:v>
                </c:pt>
                <c:pt idx="2">
                  <c:v>0.84571084573129929</c:v>
                </c:pt>
                <c:pt idx="3">
                  <c:v>0.50898132152086484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4F-401A-9E49-27ABF2F55EB6}"/>
            </c:ext>
          </c:extLst>
        </c:ser>
        <c:ser>
          <c:idx val="1"/>
          <c:order val="1"/>
          <c:tx>
            <c:strRef>
              <c:f>'G4'!$A$13</c:f>
              <c:strCache>
                <c:ptCount val="1"/>
                <c:pt idx="0">
                  <c:v>tržby od obyvateľstva</c:v>
                </c:pt>
              </c:strCache>
            </c:strRef>
          </c:tx>
          <c:spPr>
            <a:solidFill>
              <a:schemeClr val="accent1"/>
            </a:solidFill>
            <a:ln w="3175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0"/>
              <c:layout>
                <c:manualLayout>
                  <c:x val="-5.9202059202059391E-2"/>
                  <c:y val="5.9244605837255986E-2"/>
                </c:manualLayout>
              </c:layout>
              <c:numFmt formatCode="0.0\ 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cs-CZ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6A83-4109-86D6-27801AEE96D5}"/>
                </c:ext>
              </c:extLst>
            </c:dLbl>
            <c:dLbl>
              <c:idx val="1"/>
              <c:layout>
                <c:manualLayout>
                  <c:x val="-2.3166023166023165E-2"/>
                  <c:y val="7.03526232082020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854F-401A-9E49-27ABF2F55EB6}"/>
                </c:ext>
              </c:extLst>
            </c:dLbl>
            <c:dLbl>
              <c:idx val="2"/>
              <c:layout>
                <c:manualLayout>
                  <c:x val="-3.8610038610038519E-2"/>
                  <c:y val="7.405539285073908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854F-401A-9E49-27ABF2F55EB6}"/>
                </c:ext>
              </c:extLst>
            </c:dLbl>
            <c:dLbl>
              <c:idx val="3"/>
              <c:numFmt formatCode="0.0\ 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cs-CZ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854F-401A-9E49-27ABF2F55EB6}"/>
                </c:ext>
              </c:extLst>
            </c:dLbl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cs-C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3175" cap="flat" cmpd="sng" algn="ctr">
                      <a:solidFill>
                        <a:schemeClr val="bg1">
                          <a:lumMod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'G4'!$B$5:$E$5</c:f>
              <c:strCache>
                <c:ptCount val="4"/>
                <c:pt idx="0">
                  <c:v>všeobecné
a špecializované
nemocnice </c:v>
                </c:pt>
                <c:pt idx="1">
                  <c:v>fakultné
nemocnice</c:v>
                </c:pt>
                <c:pt idx="2">
                  <c:v>liečebne</c:v>
                </c:pt>
                <c:pt idx="3">
                  <c:v>ostatní
ústavní PZS 1)</c:v>
                </c:pt>
              </c:strCache>
            </c:strRef>
          </c:cat>
          <c:val>
            <c:numRef>
              <c:f>'G4'!$B$13:$E$13</c:f>
              <c:numCache>
                <c:formatCode>0.0%</c:formatCode>
                <c:ptCount val="4"/>
                <c:pt idx="0">
                  <c:v>2.5818100035911114E-2</c:v>
                </c:pt>
                <c:pt idx="1">
                  <c:v>1.9689440397703793E-2</c:v>
                </c:pt>
                <c:pt idx="2">
                  <c:v>1.4106535845007729E-2</c:v>
                </c:pt>
                <c:pt idx="3">
                  <c:v>0.30042237927228616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54F-401A-9E49-27ABF2F55EB6}"/>
            </c:ext>
          </c:extLst>
        </c:ser>
        <c:ser>
          <c:idx val="2"/>
          <c:order val="2"/>
          <c:tx>
            <c:strRef>
              <c:f>'G4'!$A$14</c:f>
              <c:strCache>
                <c:ptCount val="1"/>
                <c:pt idx="0">
                  <c:v>prevádzkové dotácie</c:v>
                </c:pt>
              </c:strCache>
            </c:strRef>
          </c:tx>
          <c:spPr>
            <a:solidFill>
              <a:schemeClr val="accent5"/>
            </a:solidFill>
            <a:ln w="3175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854F-401A-9E49-27ABF2F55EB6}"/>
                </c:ext>
              </c:extLst>
            </c:dLbl>
            <c:dLbl>
              <c:idx val="1"/>
              <c:layout>
                <c:manualLayout>
                  <c:x val="2.5740025740023853E-3"/>
                  <c:y val="-3.7024780858721166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854F-401A-9E49-27ABF2F55EB6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854F-401A-9E49-27ABF2F55EB6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854F-401A-9E49-27ABF2F55EB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cs-C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'G4'!$B$5:$E$5</c:f>
              <c:strCache>
                <c:ptCount val="4"/>
                <c:pt idx="0">
                  <c:v>všeobecné
a špecializované
nemocnice </c:v>
                </c:pt>
                <c:pt idx="1">
                  <c:v>fakultné
nemocnice</c:v>
                </c:pt>
                <c:pt idx="2">
                  <c:v>liečebne</c:v>
                </c:pt>
                <c:pt idx="3">
                  <c:v>ostatní
ústavní PZS 1)</c:v>
                </c:pt>
              </c:strCache>
            </c:strRef>
          </c:cat>
          <c:val>
            <c:numRef>
              <c:f>'G4'!$B$14:$E$14</c:f>
              <c:numCache>
                <c:formatCode>0.0%</c:formatCode>
                <c:ptCount val="4"/>
                <c:pt idx="0">
                  <c:v>2.5270107335244843E-3</c:v>
                </c:pt>
                <c:pt idx="1">
                  <c:v>6.0174465325556946E-2</c:v>
                </c:pt>
                <c:pt idx="2">
                  <c:v>2.2957530471035955E-3</c:v>
                </c:pt>
                <c:pt idx="3">
                  <c:v>8.904562862712238E-3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54F-401A-9E49-27ABF2F55EB6}"/>
            </c:ext>
          </c:extLst>
        </c:ser>
        <c:ser>
          <c:idx val="3"/>
          <c:order val="3"/>
          <c:tx>
            <c:strRef>
              <c:f>'G4'!$A$15</c:f>
              <c:strCache>
                <c:ptCount val="1"/>
                <c:pt idx="0">
                  <c:v>ostatné výnosy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 w="3175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cs-CZ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'G4'!$B$5:$E$5</c:f>
              <c:strCache>
                <c:ptCount val="4"/>
                <c:pt idx="0">
                  <c:v>všeobecné
a špecializované
nemocnice </c:v>
                </c:pt>
                <c:pt idx="1">
                  <c:v>fakultné
nemocnice</c:v>
                </c:pt>
                <c:pt idx="2">
                  <c:v>liečebne</c:v>
                </c:pt>
                <c:pt idx="3">
                  <c:v>ostatní
ústavní PZS 1)</c:v>
                </c:pt>
              </c:strCache>
            </c:strRef>
          </c:cat>
          <c:val>
            <c:numRef>
              <c:f>'G4'!$B$15:$E$15</c:f>
              <c:numCache>
                <c:formatCode>0.0%</c:formatCode>
                <c:ptCount val="4"/>
                <c:pt idx="0">
                  <c:v>0.10824360912196945</c:v>
                </c:pt>
                <c:pt idx="1">
                  <c:v>0.16888469068086648</c:v>
                </c:pt>
                <c:pt idx="2">
                  <c:v>0.1378868653765894</c:v>
                </c:pt>
                <c:pt idx="3">
                  <c:v>0.18169173634413679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54F-401A-9E49-27ABF2F55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30302000"/>
        <c:axId val="830316144"/>
      </c:barChart>
      <c:catAx>
        <c:axId val="83030200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cs-CZ"/>
          </a:p>
        </c:txPr>
        <c:crossAx val="830316144"/>
        <c:crosses val="autoZero"/>
        <c:auto val="1"/>
        <c:lblAlgn val="ctr"/>
        <c:lblOffset val="100"/>
        <c:noMultiLvlLbl val="0"/>
      </c:catAx>
      <c:valAx>
        <c:axId val="830316144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cs-CZ"/>
          </a:p>
        </c:txPr>
        <c:crossAx val="830302000"/>
        <c:crosses val="max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783216783216783"/>
          <c:y val="0.8446320987654321"/>
          <c:w val="0.76946386946386947"/>
          <c:h val="0.127957098765432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247650</xdr:colOff>
      <xdr:row>3</xdr:row>
      <xdr:rowOff>2163</xdr:rowOff>
    </xdr:from>
    <xdr:to>
      <xdr:col>10</xdr:col>
      <xdr:colOff>238125</xdr:colOff>
      <xdr:row>25</xdr:row>
      <xdr:rowOff>85725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2</xdr:row>
      <xdr:rowOff>34201</xdr:rowOff>
    </xdr:from>
    <xdr:to>
      <xdr:col>10</xdr:col>
      <xdr:colOff>30825</xdr:colOff>
      <xdr:row>18</xdr:row>
      <xdr:rowOff>57149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382732</xdr:colOff>
      <xdr:row>3</xdr:row>
      <xdr:rowOff>66675</xdr:rowOff>
    </xdr:from>
    <xdr:to>
      <xdr:col>12</xdr:col>
      <xdr:colOff>238125</xdr:colOff>
      <xdr:row>20</xdr:row>
      <xdr:rowOff>114299</xdr:rowOff>
    </xdr:to>
    <xdr:graphicFrame macro="">
      <xdr:nvGraphicFramePr>
        <xdr:cNvPr id="4" name="Graf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609600</xdr:colOff>
      <xdr:row>2</xdr:row>
      <xdr:rowOff>161059</xdr:rowOff>
    </xdr:from>
    <xdr:to>
      <xdr:col>10</xdr:col>
      <xdr:colOff>561975</xdr:colOff>
      <xdr:row>20</xdr:row>
      <xdr:rowOff>142874</xdr:rowOff>
    </xdr:to>
    <xdr:graphicFrame macro="">
      <xdr:nvGraphicFramePr>
        <xdr:cNvPr id="5" name="Graf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Rocenka_tema">
  <a:themeElements>
    <a:clrScheme name="Vlastné 2">
      <a:dk1>
        <a:sysClr val="windowText" lastClr="000000"/>
      </a:dk1>
      <a:lt1>
        <a:sysClr val="window" lastClr="FFFFFF"/>
      </a:lt1>
      <a:dk2>
        <a:srgbClr val="8B8D8E"/>
      </a:dk2>
      <a:lt2>
        <a:srgbClr val="E2E2E2"/>
      </a:lt2>
      <a:accent1>
        <a:srgbClr val="005293"/>
      </a:accent1>
      <a:accent2>
        <a:srgbClr val="C9E7FF"/>
      </a:accent2>
      <a:accent3>
        <a:srgbClr val="C60C30"/>
      </a:accent3>
      <a:accent4>
        <a:srgbClr val="FDD7DE"/>
      </a:accent4>
      <a:accent5>
        <a:srgbClr val="FFC000"/>
      </a:accent5>
      <a:accent6>
        <a:srgbClr val="10B898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showGridLines="0" tabSelected="1" workbookViewId="0">
      <selection activeCell="A2" sqref="A2"/>
    </sheetView>
  </sheetViews>
  <sheetFormatPr defaultRowHeight="15" customHeight="1" x14ac:dyDescent="0.2"/>
  <cols>
    <col min="1" max="1" width="8.125" style="3" customWidth="1"/>
    <col min="2" max="2" width="92.5" style="3" customWidth="1"/>
    <col min="3" max="16384" width="9" style="3"/>
  </cols>
  <sheetData>
    <row r="1" spans="1:3" ht="15" customHeight="1" x14ac:dyDescent="0.2">
      <c r="A1" s="159" t="s">
        <v>139</v>
      </c>
      <c r="B1" s="160"/>
      <c r="C1" s="160"/>
    </row>
    <row r="2" spans="1:3" ht="15" customHeight="1" x14ac:dyDescent="0.2">
      <c r="A2" s="97"/>
      <c r="B2" s="98"/>
      <c r="C2" s="99"/>
    </row>
    <row r="3" spans="1:3" ht="15" customHeight="1" x14ac:dyDescent="0.2">
      <c r="A3" s="100"/>
      <c r="B3" s="101" t="s">
        <v>115</v>
      </c>
      <c r="C3" s="101" t="s">
        <v>116</v>
      </c>
    </row>
    <row r="4" spans="1:3" ht="15" customHeight="1" x14ac:dyDescent="0.2">
      <c r="A4" s="147"/>
      <c r="B4" s="148" t="s">
        <v>86</v>
      </c>
      <c r="C4" s="149" t="s">
        <v>118</v>
      </c>
    </row>
    <row r="5" spans="1:3" ht="15" customHeight="1" x14ac:dyDescent="0.2">
      <c r="A5" s="150" t="s">
        <v>117</v>
      </c>
      <c r="B5" s="151" t="s">
        <v>150</v>
      </c>
      <c r="C5" s="152" t="s">
        <v>119</v>
      </c>
    </row>
    <row r="6" spans="1:3" ht="15" customHeight="1" x14ac:dyDescent="0.2">
      <c r="A6" s="153" t="s">
        <v>117</v>
      </c>
      <c r="B6" s="154" t="s">
        <v>149</v>
      </c>
      <c r="C6" s="155" t="s">
        <v>121</v>
      </c>
    </row>
    <row r="7" spans="1:3" ht="15" customHeight="1" x14ac:dyDescent="0.2">
      <c r="A7" s="150" t="s">
        <v>117</v>
      </c>
      <c r="B7" s="151" t="s">
        <v>148</v>
      </c>
      <c r="C7" s="152" t="s">
        <v>122</v>
      </c>
    </row>
    <row r="8" spans="1:3" ht="15" customHeight="1" x14ac:dyDescent="0.2">
      <c r="A8" s="153" t="s">
        <v>120</v>
      </c>
      <c r="B8" s="154" t="s">
        <v>147</v>
      </c>
      <c r="C8" s="155" t="s">
        <v>123</v>
      </c>
    </row>
    <row r="9" spans="1:3" ht="15" customHeight="1" x14ac:dyDescent="0.2">
      <c r="A9" s="150" t="s">
        <v>120</v>
      </c>
      <c r="B9" s="151" t="s">
        <v>146</v>
      </c>
      <c r="C9" s="152" t="s">
        <v>124</v>
      </c>
    </row>
    <row r="10" spans="1:3" ht="15" customHeight="1" x14ac:dyDescent="0.2">
      <c r="A10" s="153" t="s">
        <v>120</v>
      </c>
      <c r="B10" s="154" t="s">
        <v>145</v>
      </c>
      <c r="C10" s="155" t="s">
        <v>125</v>
      </c>
    </row>
    <row r="11" spans="1:3" ht="15" customHeight="1" x14ac:dyDescent="0.2">
      <c r="A11" s="156" t="s">
        <v>120</v>
      </c>
      <c r="B11" s="157" t="s">
        <v>144</v>
      </c>
      <c r="C11" s="158" t="s">
        <v>126</v>
      </c>
    </row>
  </sheetData>
  <mergeCells count="1">
    <mergeCell ref="A1:C1"/>
  </mergeCells>
  <hyperlinks>
    <hyperlink ref="C4" location="Meta!A1" display="Meta"/>
    <hyperlink ref="C5" location="'T1'!A1" display="T1"/>
    <hyperlink ref="C6" location="'T2'!A1" display="T2"/>
    <hyperlink ref="C7" location="'T3'!A1" display="T3"/>
    <hyperlink ref="C8" location="'G1'!A1" display="G1"/>
    <hyperlink ref="C9" location="'G2'!A1" display="G2"/>
    <hyperlink ref="C10" location="'G3'!A1" display="G3"/>
    <hyperlink ref="C11" location="'G4'!A1" display="G4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1"/>
  <sheetViews>
    <sheetView showGridLines="0" zoomScaleNormal="100" workbookViewId="0">
      <selection activeCell="A2" sqref="A2"/>
    </sheetView>
  </sheetViews>
  <sheetFormatPr defaultRowHeight="12" x14ac:dyDescent="0.2"/>
  <cols>
    <col min="1" max="1" width="12.125" style="40" customWidth="1"/>
    <col min="2" max="2" width="10.5" style="40" customWidth="1"/>
    <col min="3" max="3" width="61.5" style="40" customWidth="1"/>
    <col min="4" max="22" width="9" style="2"/>
    <col min="23" max="23" width="8" style="2" customWidth="1"/>
    <col min="24" max="16384" width="9" style="2"/>
  </cols>
  <sheetData>
    <row r="1" spans="1:23" ht="13.5" customHeight="1" x14ac:dyDescent="0.2">
      <c r="A1" s="164" t="s">
        <v>139</v>
      </c>
      <c r="B1" s="165"/>
      <c r="C1" s="165"/>
      <c r="E1" s="36"/>
      <c r="F1" s="96" t="s">
        <v>138</v>
      </c>
      <c r="W1" s="37"/>
    </row>
    <row r="2" spans="1:23" s="3" customFormat="1" ht="13.5" customHeight="1" x14ac:dyDescent="0.2">
      <c r="A2" s="48"/>
      <c r="B2" s="49"/>
      <c r="C2" s="49"/>
      <c r="E2" s="50"/>
      <c r="W2" s="51"/>
    </row>
    <row r="3" spans="1:23" ht="21.75" customHeight="1" x14ac:dyDescent="0.2">
      <c r="A3" s="166" t="s">
        <v>86</v>
      </c>
      <c r="B3" s="166"/>
      <c r="C3" s="166"/>
      <c r="E3" s="36"/>
      <c r="W3" s="37"/>
    </row>
    <row r="4" spans="1:23" ht="30.75" customHeight="1" x14ac:dyDescent="0.2">
      <c r="A4" s="167" t="s">
        <v>140</v>
      </c>
      <c r="B4" s="167"/>
      <c r="C4" s="167"/>
      <c r="D4" s="57"/>
      <c r="W4" s="37"/>
    </row>
    <row r="5" spans="1:23" ht="45" customHeight="1" x14ac:dyDescent="0.2">
      <c r="A5" s="168" t="s">
        <v>135</v>
      </c>
      <c r="B5" s="167"/>
      <c r="C5" s="167"/>
      <c r="E5" s="36"/>
      <c r="W5" s="37"/>
    </row>
    <row r="6" spans="1:23" ht="103.5" customHeight="1" x14ac:dyDescent="0.2">
      <c r="A6" s="167" t="s">
        <v>141</v>
      </c>
      <c r="B6" s="167"/>
      <c r="C6" s="167"/>
      <c r="E6" s="36"/>
      <c r="W6" s="37"/>
    </row>
    <row r="7" spans="1:23" ht="14.25" customHeight="1" x14ac:dyDescent="0.2">
      <c r="A7" s="39"/>
      <c r="B7" s="39"/>
      <c r="C7" s="39"/>
    </row>
    <row r="8" spans="1:23" ht="33" customHeight="1" x14ac:dyDescent="0.2">
      <c r="A8" s="161" t="s">
        <v>112</v>
      </c>
      <c r="B8" s="161"/>
      <c r="C8" s="161"/>
    </row>
    <row r="9" spans="1:23" ht="40.5" customHeight="1" x14ac:dyDescent="0.2">
      <c r="A9" s="161" t="s">
        <v>114</v>
      </c>
      <c r="B9" s="161"/>
      <c r="C9" s="161"/>
    </row>
    <row r="10" spans="1:23" ht="32.25" customHeight="1" x14ac:dyDescent="0.2">
      <c r="A10" s="161" t="s">
        <v>113</v>
      </c>
      <c r="B10" s="161"/>
      <c r="C10" s="161"/>
    </row>
    <row r="11" spans="1:23" s="3" customFormat="1" ht="13.5" customHeight="1" x14ac:dyDescent="0.2">
      <c r="A11" s="52"/>
      <c r="B11" s="52"/>
      <c r="C11" s="52"/>
    </row>
    <row r="12" spans="1:23" s="3" customFormat="1" ht="13.5" customHeight="1" x14ac:dyDescent="0.2">
      <c r="A12" s="168" t="s">
        <v>127</v>
      </c>
      <c r="B12" s="168"/>
      <c r="C12" s="168"/>
    </row>
    <row r="13" spans="1:23" s="3" customFormat="1" ht="13.5" customHeight="1" x14ac:dyDescent="0.2">
      <c r="A13" s="42" t="s">
        <v>130</v>
      </c>
      <c r="B13" s="56" t="s">
        <v>129</v>
      </c>
      <c r="C13" s="41"/>
    </row>
    <row r="14" spans="1:23" s="3" customFormat="1" ht="13.5" customHeight="1" x14ac:dyDescent="0.2">
      <c r="A14" s="54" t="s">
        <v>111</v>
      </c>
      <c r="B14" s="55" t="s">
        <v>128</v>
      </c>
      <c r="C14" s="54"/>
    </row>
    <row r="15" spans="1:23" s="3" customFormat="1" ht="13.5" customHeight="1" x14ac:dyDescent="0.2">
      <c r="A15" s="54" t="s">
        <v>133</v>
      </c>
      <c r="B15" s="55" t="s">
        <v>134</v>
      </c>
      <c r="C15" s="54"/>
    </row>
    <row r="16" spans="1:23" s="3" customFormat="1" ht="13.5" customHeight="1" x14ac:dyDescent="0.2">
      <c r="A16" s="54" t="s">
        <v>131</v>
      </c>
      <c r="B16" s="55" t="s">
        <v>132</v>
      </c>
      <c r="C16" s="54"/>
    </row>
    <row r="17" spans="1:3" s="3" customFormat="1" ht="12.75" customHeight="1" x14ac:dyDescent="0.2">
      <c r="A17" s="53"/>
    </row>
    <row r="18" spans="1:3" ht="13.5" customHeight="1" x14ac:dyDescent="0.2">
      <c r="A18" s="92" t="s">
        <v>87</v>
      </c>
      <c r="B18" s="93"/>
      <c r="C18" s="93"/>
    </row>
    <row r="19" spans="1:3" ht="13.5" customHeight="1" x14ac:dyDescent="0.2">
      <c r="A19" s="94" t="s">
        <v>88</v>
      </c>
      <c r="B19" s="94" t="s">
        <v>89</v>
      </c>
      <c r="C19" s="94" t="s">
        <v>90</v>
      </c>
    </row>
    <row r="20" spans="1:3" ht="13.5" customHeight="1" x14ac:dyDescent="0.2">
      <c r="A20" s="94" t="s">
        <v>91</v>
      </c>
      <c r="B20" s="94" t="s">
        <v>92</v>
      </c>
      <c r="C20" s="94" t="s">
        <v>93</v>
      </c>
    </row>
    <row r="21" spans="1:3" ht="13.5" customHeight="1" x14ac:dyDescent="0.2">
      <c r="A21" s="94" t="s">
        <v>94</v>
      </c>
      <c r="B21" s="94" t="s">
        <v>95</v>
      </c>
      <c r="C21" s="94" t="s">
        <v>96</v>
      </c>
    </row>
    <row r="22" spans="1:3" ht="13.5" customHeight="1" x14ac:dyDescent="0.2">
      <c r="A22" s="94" t="s">
        <v>97</v>
      </c>
      <c r="B22" s="94" t="s">
        <v>98</v>
      </c>
      <c r="C22" s="94" t="s">
        <v>99</v>
      </c>
    </row>
    <row r="23" spans="1:3" ht="13.5" customHeight="1" x14ac:dyDescent="0.2">
      <c r="A23" s="94" t="s">
        <v>100</v>
      </c>
      <c r="B23" s="94" t="s">
        <v>101</v>
      </c>
      <c r="C23" s="94" t="s">
        <v>102</v>
      </c>
    </row>
    <row r="24" spans="1:3" ht="13.5" customHeight="1" x14ac:dyDescent="0.2">
      <c r="A24" s="95" t="s">
        <v>103</v>
      </c>
      <c r="B24" s="94" t="s">
        <v>104</v>
      </c>
      <c r="C24" s="94" t="s">
        <v>105</v>
      </c>
    </row>
    <row r="25" spans="1:3" ht="13.5" customHeight="1" x14ac:dyDescent="0.2">
      <c r="A25" s="94" t="s">
        <v>106</v>
      </c>
      <c r="B25" s="94"/>
      <c r="C25" s="94" t="s">
        <v>107</v>
      </c>
    </row>
    <row r="26" spans="1:3" ht="13.5" customHeight="1" x14ac:dyDescent="0.2">
      <c r="A26" s="94" t="s">
        <v>108</v>
      </c>
      <c r="B26" s="94"/>
      <c r="C26" s="94" t="s">
        <v>109</v>
      </c>
    </row>
    <row r="27" spans="1:3" ht="13.5" customHeight="1" x14ac:dyDescent="0.2">
      <c r="A27" s="43"/>
      <c r="B27" s="38"/>
      <c r="C27" s="38"/>
    </row>
    <row r="28" spans="1:3" ht="13.5" customHeight="1" x14ac:dyDescent="0.2">
      <c r="A28" s="162" t="s">
        <v>110</v>
      </c>
      <c r="B28" s="162"/>
      <c r="C28" s="162"/>
    </row>
    <row r="29" spans="1:3" ht="12" customHeight="1" x14ac:dyDescent="0.2">
      <c r="A29" s="163" t="s">
        <v>142</v>
      </c>
      <c r="B29" s="163"/>
      <c r="C29" s="163"/>
    </row>
    <row r="30" spans="1:3" ht="12" customHeight="1" x14ac:dyDescent="0.2"/>
    <row r="31" spans="1:3" ht="12" customHeight="1" x14ac:dyDescent="0.2"/>
  </sheetData>
  <mergeCells count="11">
    <mergeCell ref="A8:C8"/>
    <mergeCell ref="A10:C10"/>
    <mergeCell ref="A28:C28"/>
    <mergeCell ref="A29:C29"/>
    <mergeCell ref="A1:C1"/>
    <mergeCell ref="A9:C9"/>
    <mergeCell ref="A3:C3"/>
    <mergeCell ref="A4:C4"/>
    <mergeCell ref="A5:C5"/>
    <mergeCell ref="A6:C6"/>
    <mergeCell ref="A12:C12"/>
  </mergeCells>
  <hyperlinks>
    <hyperlink ref="F1" location="Obsah!A1" display="Naspäť na obsah"/>
  </hyperlinks>
  <pageMargins left="0.7" right="0.7" top="0.75" bottom="0.75" header="0.3" footer="0.3"/>
  <pageSetup paperSize="9" scale="7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showGridLines="0" zoomScaleNormal="100" workbookViewId="0"/>
  </sheetViews>
  <sheetFormatPr defaultRowHeight="13.5" customHeight="1" x14ac:dyDescent="0.2"/>
  <cols>
    <col min="1" max="1" width="27.125" style="2" customWidth="1"/>
    <col min="2" max="2" width="13.75" style="2" customWidth="1"/>
    <col min="3" max="16" width="12.625" style="2" customWidth="1"/>
    <col min="17" max="17" width="15.875" style="2" customWidth="1"/>
    <col min="18" max="28" width="14" style="2" customWidth="1"/>
    <col min="29" max="16384" width="9" style="2"/>
  </cols>
  <sheetData>
    <row r="1" spans="1:16" ht="13.5" customHeight="1" x14ac:dyDescent="0.2">
      <c r="A1" s="16" t="s">
        <v>139</v>
      </c>
      <c r="H1" s="128" t="s">
        <v>138</v>
      </c>
    </row>
    <row r="2" spans="1:16" ht="13.5" customHeight="1" x14ac:dyDescent="0.2">
      <c r="A2" s="1" t="s">
        <v>150</v>
      </c>
    </row>
    <row r="4" spans="1:16" ht="13.5" customHeight="1" x14ac:dyDescent="0.2">
      <c r="A4" s="169" t="s">
        <v>29</v>
      </c>
      <c r="B4" s="169" t="s">
        <v>23</v>
      </c>
      <c r="C4" s="170" t="s">
        <v>36</v>
      </c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1"/>
      <c r="O4" s="171"/>
      <c r="P4" s="172"/>
    </row>
    <row r="5" spans="1:16" ht="38.25" customHeight="1" x14ac:dyDescent="0.2">
      <c r="A5" s="169"/>
      <c r="B5" s="169"/>
      <c r="C5" s="83" t="s">
        <v>0</v>
      </c>
      <c r="D5" s="83" t="s">
        <v>1</v>
      </c>
      <c r="E5" s="83" t="s">
        <v>2</v>
      </c>
      <c r="F5" s="83" t="s">
        <v>3</v>
      </c>
      <c r="G5" s="83" t="s">
        <v>136</v>
      </c>
      <c r="H5" s="83" t="s">
        <v>4</v>
      </c>
      <c r="I5" s="83" t="s">
        <v>5</v>
      </c>
      <c r="J5" s="83" t="s">
        <v>6</v>
      </c>
      <c r="K5" s="83" t="s">
        <v>7</v>
      </c>
      <c r="L5" s="83" t="s">
        <v>8</v>
      </c>
      <c r="M5" s="83" t="s">
        <v>9</v>
      </c>
      <c r="N5" s="83" t="s">
        <v>143</v>
      </c>
      <c r="O5" s="83" t="s">
        <v>57</v>
      </c>
      <c r="P5" s="84" t="s">
        <v>10</v>
      </c>
    </row>
    <row r="6" spans="1:16" ht="13.5" customHeight="1" x14ac:dyDescent="0.2">
      <c r="A6" s="130" t="s">
        <v>11</v>
      </c>
      <c r="B6" s="131">
        <v>9866</v>
      </c>
      <c r="C6" s="131">
        <v>21</v>
      </c>
      <c r="D6" s="131">
        <v>5</v>
      </c>
      <c r="E6" s="131">
        <v>35</v>
      </c>
      <c r="F6" s="131">
        <v>5</v>
      </c>
      <c r="G6" s="131">
        <v>5</v>
      </c>
      <c r="H6" s="131">
        <v>6</v>
      </c>
      <c r="I6" s="131">
        <v>11</v>
      </c>
      <c r="J6" s="131">
        <v>2152</v>
      </c>
      <c r="K6" s="131">
        <v>7467</v>
      </c>
      <c r="L6" s="131">
        <v>47</v>
      </c>
      <c r="M6" s="131">
        <v>72</v>
      </c>
      <c r="N6" s="131">
        <v>5</v>
      </c>
      <c r="O6" s="131">
        <v>13</v>
      </c>
      <c r="P6" s="131">
        <v>9</v>
      </c>
    </row>
    <row r="7" spans="1:16" ht="13.5" customHeight="1" x14ac:dyDescent="0.2">
      <c r="A7" s="132" t="s">
        <v>12</v>
      </c>
      <c r="B7" s="133">
        <v>6119747575.1500015</v>
      </c>
      <c r="C7" s="133">
        <v>147248054.98000002</v>
      </c>
      <c r="D7" s="133">
        <v>273729873.07999998</v>
      </c>
      <c r="E7" s="133">
        <v>1633316485.0800004</v>
      </c>
      <c r="F7" s="133">
        <v>113061517.41</v>
      </c>
      <c r="G7" s="133">
        <v>11306829.470000001</v>
      </c>
      <c r="H7" s="133">
        <v>33049990.289999999</v>
      </c>
      <c r="I7" s="133">
        <v>178507569.47</v>
      </c>
      <c r="J7" s="133">
        <v>215949983.75999993</v>
      </c>
      <c r="K7" s="133">
        <v>2765486243.6199884</v>
      </c>
      <c r="L7" s="133">
        <v>46883436.959999993</v>
      </c>
      <c r="M7" s="133">
        <v>641910394.53000009</v>
      </c>
      <c r="N7" s="133">
        <v>1771802.73</v>
      </c>
      <c r="O7" s="133">
        <v>5191411.5500000007</v>
      </c>
      <c r="P7" s="133">
        <v>3703004.5000000005</v>
      </c>
    </row>
    <row r="8" spans="1:16" ht="13.5" customHeight="1" x14ac:dyDescent="0.2">
      <c r="A8" s="134" t="s">
        <v>13</v>
      </c>
      <c r="B8" s="135"/>
      <c r="C8" s="135"/>
      <c r="D8" s="135"/>
      <c r="E8" s="135"/>
      <c r="F8" s="135"/>
      <c r="G8" s="135"/>
      <c r="H8" s="135"/>
      <c r="I8" s="135"/>
      <c r="J8" s="135"/>
      <c r="K8" s="135"/>
      <c r="L8" s="135"/>
      <c r="M8" s="135"/>
      <c r="N8" s="135"/>
      <c r="O8" s="135"/>
      <c r="P8" s="135"/>
    </row>
    <row r="9" spans="1:16" ht="13.5" customHeight="1" x14ac:dyDescent="0.2">
      <c r="A9" s="136" t="s">
        <v>15</v>
      </c>
      <c r="B9" s="137">
        <v>1780574156.3999979</v>
      </c>
      <c r="C9" s="137">
        <v>70502564.61999999</v>
      </c>
      <c r="D9" s="137">
        <v>85241168.38000001</v>
      </c>
      <c r="E9" s="137">
        <v>629143084.6500001</v>
      </c>
      <c r="F9" s="137">
        <v>51432456.729999997</v>
      </c>
      <c r="G9" s="137">
        <v>4991745.38</v>
      </c>
      <c r="H9" s="137">
        <v>15311274.52</v>
      </c>
      <c r="I9" s="137">
        <v>84444302.379999995</v>
      </c>
      <c r="J9" s="135">
        <v>27600048.489999995</v>
      </c>
      <c r="K9" s="137">
        <v>527439130.61000097</v>
      </c>
      <c r="L9" s="135">
        <v>20609212.469999995</v>
      </c>
      <c r="M9" s="137">
        <v>237116198.69000015</v>
      </c>
      <c r="N9" s="137">
        <v>119068.31</v>
      </c>
      <c r="O9" s="137">
        <v>1373325.1400000001</v>
      </c>
      <c r="P9" s="137">
        <v>1997921.53</v>
      </c>
    </row>
    <row r="10" spans="1:16" ht="13.5" customHeight="1" x14ac:dyDescent="0.2">
      <c r="A10" s="136" t="s">
        <v>16</v>
      </c>
      <c r="B10" s="137">
        <v>627242565.66999567</v>
      </c>
      <c r="C10" s="137">
        <v>24351215.810000002</v>
      </c>
      <c r="D10" s="137">
        <v>29582462.060000002</v>
      </c>
      <c r="E10" s="137">
        <v>220522637.39999998</v>
      </c>
      <c r="F10" s="137">
        <v>16402057.43</v>
      </c>
      <c r="G10" s="137">
        <v>1722301.92</v>
      </c>
      <c r="H10" s="137">
        <v>5363124.9499999993</v>
      </c>
      <c r="I10" s="137">
        <v>31470309.389999997</v>
      </c>
      <c r="J10" s="135">
        <v>22151744.969999988</v>
      </c>
      <c r="K10" s="137">
        <v>181577747.59000054</v>
      </c>
      <c r="L10" s="135">
        <v>7147042.7799999993</v>
      </c>
      <c r="M10" s="137">
        <v>77797490.139999986</v>
      </c>
      <c r="N10" s="137">
        <v>47982.45</v>
      </c>
      <c r="O10" s="137">
        <v>473857.5</v>
      </c>
      <c r="P10" s="137">
        <v>660375.37999999989</v>
      </c>
    </row>
    <row r="11" spans="1:16" ht="13.5" customHeight="1" x14ac:dyDescent="0.2">
      <c r="A11" s="136" t="s">
        <v>17</v>
      </c>
      <c r="B11" s="137">
        <v>1365054574.8100038</v>
      </c>
      <c r="C11" s="137">
        <v>7619770.0799999991</v>
      </c>
      <c r="D11" s="137">
        <v>30640283.949999999</v>
      </c>
      <c r="E11" s="137">
        <v>213814508.91999999</v>
      </c>
      <c r="F11" s="137">
        <v>6631786.4299999997</v>
      </c>
      <c r="G11" s="137">
        <v>1720901.5299999998</v>
      </c>
      <c r="H11" s="137">
        <v>5122601.59</v>
      </c>
      <c r="I11" s="137">
        <v>14332254.360000001</v>
      </c>
      <c r="J11" s="135">
        <v>78519336.760000035</v>
      </c>
      <c r="K11" s="137">
        <v>969336338.10999799</v>
      </c>
      <c r="L11" s="135">
        <v>3357154.8600000003</v>
      </c>
      <c r="M11" s="137">
        <v>31860720.419999994</v>
      </c>
      <c r="N11" s="137">
        <v>445.58000000000004</v>
      </c>
      <c r="O11" s="137">
        <v>70068.67</v>
      </c>
      <c r="P11" s="137">
        <v>46769.4</v>
      </c>
    </row>
    <row r="12" spans="1:16" ht="13.5" customHeight="1" x14ac:dyDescent="0.2">
      <c r="A12" s="136" t="s">
        <v>18</v>
      </c>
      <c r="B12" s="137">
        <v>610958269.97000241</v>
      </c>
      <c r="C12" s="137">
        <v>5594437.6399999997</v>
      </c>
      <c r="D12" s="137">
        <v>86088233.810000002</v>
      </c>
      <c r="E12" s="137">
        <v>175215278.83999997</v>
      </c>
      <c r="F12" s="137">
        <v>12989818.24</v>
      </c>
      <c r="G12" s="137">
        <v>981208.61999999988</v>
      </c>
      <c r="H12" s="137">
        <v>477279.39</v>
      </c>
      <c r="I12" s="137">
        <v>11589437.950000001</v>
      </c>
      <c r="J12" s="135">
        <v>20521288.499999996</v>
      </c>
      <c r="K12" s="137">
        <v>224024102.25999972</v>
      </c>
      <c r="L12" s="135">
        <v>3262535.04</v>
      </c>
      <c r="M12" s="137">
        <v>66017828.099999994</v>
      </c>
      <c r="N12" s="137">
        <v>817822.12</v>
      </c>
      <c r="O12" s="137">
        <v>296085.04000000004</v>
      </c>
      <c r="P12" s="137">
        <v>49674.29</v>
      </c>
    </row>
    <row r="13" spans="1:16" ht="13.5" customHeight="1" x14ac:dyDescent="0.2">
      <c r="A13" s="136" t="s">
        <v>28</v>
      </c>
      <c r="B13" s="137">
        <v>31296850.609999999</v>
      </c>
      <c r="C13" s="137">
        <v>1292020.03</v>
      </c>
      <c r="D13" s="137">
        <v>2169378.6100000003</v>
      </c>
      <c r="E13" s="137">
        <v>17701190.549999997</v>
      </c>
      <c r="F13" s="137">
        <v>464557.91</v>
      </c>
      <c r="G13" s="137">
        <v>126276.97</v>
      </c>
      <c r="H13" s="137">
        <v>216040.36000000002</v>
      </c>
      <c r="I13" s="137">
        <v>2963415.63</v>
      </c>
      <c r="J13" s="135">
        <v>400192.59</v>
      </c>
      <c r="K13" s="137">
        <v>2452391.8199999998</v>
      </c>
      <c r="L13" s="135">
        <v>303501.96999999997</v>
      </c>
      <c r="M13" s="137">
        <v>3702757.0700000003</v>
      </c>
      <c r="N13" s="137" t="s">
        <v>56</v>
      </c>
      <c r="O13" s="137" t="s">
        <v>56</v>
      </c>
      <c r="P13" s="137" t="s">
        <v>56</v>
      </c>
    </row>
    <row r="14" spans="1:16" ht="13.5" customHeight="1" x14ac:dyDescent="0.2">
      <c r="A14" s="136" t="s">
        <v>19</v>
      </c>
      <c r="B14" s="137">
        <v>228644198.56999993</v>
      </c>
      <c r="C14" s="137">
        <v>5938937.3599999994</v>
      </c>
      <c r="D14" s="137">
        <v>12282944.1</v>
      </c>
      <c r="E14" s="137">
        <v>64305716.060000002</v>
      </c>
      <c r="F14" s="137">
        <v>5877707.2200000007</v>
      </c>
      <c r="G14" s="137">
        <v>215056.44000000003</v>
      </c>
      <c r="H14" s="137">
        <v>816784.64</v>
      </c>
      <c r="I14" s="137">
        <v>7903216.5700000003</v>
      </c>
      <c r="J14" s="135">
        <v>8282875.6699999999</v>
      </c>
      <c r="K14" s="137">
        <v>99336523.009999827</v>
      </c>
      <c r="L14" s="135">
        <v>2262978.69</v>
      </c>
      <c r="M14" s="137">
        <v>19094972.870000001</v>
      </c>
      <c r="N14" s="137">
        <v>15489.57</v>
      </c>
      <c r="O14" s="137">
        <v>185396.46999999997</v>
      </c>
      <c r="P14" s="137">
        <v>163281.63999999998</v>
      </c>
    </row>
    <row r="15" spans="1:16" ht="13.5" customHeight="1" x14ac:dyDescent="0.2">
      <c r="A15" s="136" t="s">
        <v>20</v>
      </c>
      <c r="B15" s="137">
        <v>81977863.90000017</v>
      </c>
      <c r="C15" s="137">
        <v>3775151.2</v>
      </c>
      <c r="D15" s="137">
        <v>2874002.37</v>
      </c>
      <c r="E15" s="137">
        <v>27128000.210000001</v>
      </c>
      <c r="F15" s="137">
        <v>1727183.61</v>
      </c>
      <c r="G15" s="137">
        <v>214859.02000000002</v>
      </c>
      <c r="H15" s="137">
        <v>645983.92000000004</v>
      </c>
      <c r="I15" s="137">
        <v>4229306.45</v>
      </c>
      <c r="J15" s="135">
        <v>3105099.79</v>
      </c>
      <c r="K15" s="137">
        <v>21668423.20999996</v>
      </c>
      <c r="L15" s="135">
        <v>723933.47</v>
      </c>
      <c r="M15" s="137">
        <v>13762080.930000003</v>
      </c>
      <c r="N15" s="137">
        <v>2386.67</v>
      </c>
      <c r="O15" s="137">
        <v>67856.399999999994</v>
      </c>
      <c r="P15" s="137">
        <v>53972.579999999994</v>
      </c>
    </row>
    <row r="16" spans="1:16" ht="13.5" customHeight="1" x14ac:dyDescent="0.2">
      <c r="A16" s="136" t="s">
        <v>31</v>
      </c>
      <c r="B16" s="137">
        <v>78099235.850000024</v>
      </c>
      <c r="C16" s="137">
        <v>3028869.93</v>
      </c>
      <c r="D16" s="137">
        <v>4056776.6500000004</v>
      </c>
      <c r="E16" s="137">
        <v>17138049.380000003</v>
      </c>
      <c r="F16" s="137">
        <v>5073810.51</v>
      </c>
      <c r="G16" s="137">
        <v>118634.23000000001</v>
      </c>
      <c r="H16" s="137">
        <v>506883.87000000005</v>
      </c>
      <c r="I16" s="137">
        <v>2535940.94</v>
      </c>
      <c r="J16" s="135">
        <v>3193288.8600000013</v>
      </c>
      <c r="K16" s="137">
        <v>32628970.479999982</v>
      </c>
      <c r="L16" s="135">
        <v>596759.93999999994</v>
      </c>
      <c r="M16" s="137">
        <v>8030467.3099999987</v>
      </c>
      <c r="N16" s="137">
        <v>2100.42</v>
      </c>
      <c r="O16" s="137">
        <v>35892.81</v>
      </c>
      <c r="P16" s="137">
        <v>41304.299999999996</v>
      </c>
    </row>
    <row r="17" spans="1:16" ht="13.5" customHeight="1" x14ac:dyDescent="0.2">
      <c r="A17" s="132" t="s">
        <v>14</v>
      </c>
      <c r="B17" s="138">
        <v>6362587137.8900328</v>
      </c>
      <c r="C17" s="138">
        <v>150481759.61000001</v>
      </c>
      <c r="D17" s="138">
        <v>302758850.81</v>
      </c>
      <c r="E17" s="138">
        <v>1555753848.23</v>
      </c>
      <c r="F17" s="138">
        <v>106339074.2</v>
      </c>
      <c r="G17" s="138">
        <v>11209334.779999999</v>
      </c>
      <c r="H17" s="138">
        <v>39178879.25</v>
      </c>
      <c r="I17" s="138">
        <v>186704644.38999999</v>
      </c>
      <c r="J17" s="133">
        <v>265903781.78000003</v>
      </c>
      <c r="K17" s="138">
        <v>2991820501.9199982</v>
      </c>
      <c r="L17" s="133">
        <v>48432854.049999997</v>
      </c>
      <c r="M17" s="138">
        <v>645129472.24000037</v>
      </c>
      <c r="N17" s="138">
        <v>1967163.43</v>
      </c>
      <c r="O17" s="138">
        <v>2314485.9900000002</v>
      </c>
      <c r="P17" s="138">
        <v>4545177.4400000004</v>
      </c>
    </row>
    <row r="18" spans="1:16" ht="13.5" customHeight="1" x14ac:dyDescent="0.2">
      <c r="A18" s="136" t="s">
        <v>34</v>
      </c>
      <c r="B18" s="137">
        <v>4471267317.1699963</v>
      </c>
      <c r="C18" s="137">
        <v>125703748.55000004</v>
      </c>
      <c r="D18" s="137">
        <v>283913913.81</v>
      </c>
      <c r="E18" s="137">
        <v>1171153396.4999998</v>
      </c>
      <c r="F18" s="137">
        <v>51767835.969999999</v>
      </c>
      <c r="G18" s="137">
        <v>9787600.4399999995</v>
      </c>
      <c r="H18" s="137">
        <v>31986532.530000001</v>
      </c>
      <c r="I18" s="137">
        <v>145111833.25</v>
      </c>
      <c r="J18" s="135">
        <v>172349771.47999999</v>
      </c>
      <c r="K18" s="137">
        <v>1942837283.3099997</v>
      </c>
      <c r="L18" s="135">
        <v>36179088.589999996</v>
      </c>
      <c r="M18" s="137">
        <v>471337357.05000001</v>
      </c>
      <c r="N18" s="137">
        <v>911568.01</v>
      </c>
      <c r="O18" s="137">
        <v>1162416.23</v>
      </c>
      <c r="P18" s="137">
        <v>3983343.88</v>
      </c>
    </row>
    <row r="19" spans="1:16" ht="13.5" customHeight="1" x14ac:dyDescent="0.2">
      <c r="A19" s="136" t="s">
        <v>21</v>
      </c>
      <c r="B19" s="137">
        <v>1092282761.2000012</v>
      </c>
      <c r="C19" s="137">
        <v>3690239.0000000005</v>
      </c>
      <c r="D19" s="137">
        <v>13054063.740000002</v>
      </c>
      <c r="E19" s="137">
        <v>21968239.02</v>
      </c>
      <c r="F19" s="137">
        <v>7949679.2199999997</v>
      </c>
      <c r="G19" s="137">
        <v>851143.11</v>
      </c>
      <c r="H19" s="137">
        <v>1750189.0999999999</v>
      </c>
      <c r="I19" s="137">
        <v>3697363.76</v>
      </c>
      <c r="J19" s="135">
        <v>86124505.909999996</v>
      </c>
      <c r="K19" s="137">
        <v>884769319.47000158</v>
      </c>
      <c r="L19" s="135">
        <v>2261616.27</v>
      </c>
      <c r="M19" s="137">
        <v>57474682.969999984</v>
      </c>
      <c r="N19" s="137">
        <v>236420.03000000003</v>
      </c>
      <c r="O19" s="137">
        <v>208020.72</v>
      </c>
      <c r="P19" s="137">
        <v>193728.41</v>
      </c>
    </row>
    <row r="20" spans="1:16" ht="13.5" customHeight="1" x14ac:dyDescent="0.2">
      <c r="A20" s="139" t="s">
        <v>22</v>
      </c>
      <c r="B20" s="137">
        <v>460836794.56000024</v>
      </c>
      <c r="C20" s="137">
        <v>70343.83</v>
      </c>
      <c r="D20" s="137">
        <v>10838245.950000001</v>
      </c>
      <c r="E20" s="137">
        <v>11161409.119999999</v>
      </c>
      <c r="F20" s="137">
        <v>2511472.46</v>
      </c>
      <c r="G20" s="137">
        <v>501999.75</v>
      </c>
      <c r="H20" s="137">
        <v>897720.91</v>
      </c>
      <c r="I20" s="137">
        <v>1314626.8800000001</v>
      </c>
      <c r="J20" s="135">
        <v>32902115.290000007</v>
      </c>
      <c r="K20" s="137">
        <v>397011322.21000034</v>
      </c>
      <c r="L20" s="135">
        <v>455706.77999999997</v>
      </c>
      <c r="M20" s="137">
        <v>2872410.65</v>
      </c>
      <c r="N20" s="137">
        <v>335.32</v>
      </c>
      <c r="O20" s="137" t="s">
        <v>56</v>
      </c>
      <c r="P20" s="137" t="s">
        <v>56</v>
      </c>
    </row>
    <row r="21" spans="1:16" ht="13.5" customHeight="1" x14ac:dyDescent="0.2">
      <c r="A21" s="140" t="s">
        <v>35</v>
      </c>
      <c r="B21" s="137">
        <v>154974332.09999993</v>
      </c>
      <c r="C21" s="137">
        <v>785312.4</v>
      </c>
      <c r="D21" s="137" t="s">
        <v>56</v>
      </c>
      <c r="E21" s="137">
        <v>94517108.769999981</v>
      </c>
      <c r="F21" s="137">
        <v>40563093.020000003</v>
      </c>
      <c r="G21" s="137" t="s">
        <v>56</v>
      </c>
      <c r="H21" s="137">
        <v>415341.31</v>
      </c>
      <c r="I21" s="137">
        <v>280566.61</v>
      </c>
      <c r="J21" s="135">
        <v>65014.97</v>
      </c>
      <c r="K21" s="137">
        <v>1623854.57</v>
      </c>
      <c r="L21" s="135">
        <v>2006986.3599999999</v>
      </c>
      <c r="M21" s="137">
        <v>378070.1</v>
      </c>
      <c r="N21" s="137">
        <v>10000</v>
      </c>
      <c r="O21" s="137">
        <v>94058.04</v>
      </c>
      <c r="P21" s="137">
        <v>1004</v>
      </c>
    </row>
    <row r="22" spans="1:16" ht="13.5" customHeight="1" x14ac:dyDescent="0.2">
      <c r="A22" s="140" t="s">
        <v>33</v>
      </c>
      <c r="B22" s="137">
        <v>644062727.4200002</v>
      </c>
      <c r="C22" s="137">
        <v>20302459.660000004</v>
      </c>
      <c r="D22" s="137">
        <v>5790873.2600000007</v>
      </c>
      <c r="E22" s="137">
        <v>268115103.94000003</v>
      </c>
      <c r="F22" s="137">
        <v>6058465.9900000002</v>
      </c>
      <c r="G22" s="137">
        <v>570591.23</v>
      </c>
      <c r="H22" s="137">
        <v>5026816.3100000005</v>
      </c>
      <c r="I22" s="137">
        <v>37614880.770000003</v>
      </c>
      <c r="J22" s="135">
        <v>7364489.419999999</v>
      </c>
      <c r="K22" s="137">
        <v>162590044.56999996</v>
      </c>
      <c r="L22" s="135">
        <v>7985162.830000001</v>
      </c>
      <c r="M22" s="137">
        <v>115939362.11999997</v>
      </c>
      <c r="N22" s="137">
        <v>809175.3899999999</v>
      </c>
      <c r="O22" s="137">
        <v>849991</v>
      </c>
      <c r="P22" s="137">
        <v>367101.15</v>
      </c>
    </row>
    <row r="23" spans="1:16" ht="13.5" customHeight="1" x14ac:dyDescent="0.2">
      <c r="A23" s="141" t="s">
        <v>27</v>
      </c>
      <c r="B23" s="142">
        <v>242839562.74000019</v>
      </c>
      <c r="C23" s="142">
        <v>3233704.63</v>
      </c>
      <c r="D23" s="142">
        <v>29028977.73</v>
      </c>
      <c r="E23" s="142">
        <v>-77562636.849999964</v>
      </c>
      <c r="F23" s="142">
        <v>-6722443.21</v>
      </c>
      <c r="G23" s="142">
        <v>-97494.690000000017</v>
      </c>
      <c r="H23" s="142">
        <v>6128888.96</v>
      </c>
      <c r="I23" s="142">
        <v>8197074.9199999999</v>
      </c>
      <c r="J23" s="143">
        <v>49953798.020000003</v>
      </c>
      <c r="K23" s="142">
        <v>226334258.30000019</v>
      </c>
      <c r="L23" s="143">
        <v>1549417.0899999982</v>
      </c>
      <c r="M23" s="142">
        <v>3219077.7099999939</v>
      </c>
      <c r="N23" s="142">
        <v>195360.69999999998</v>
      </c>
      <c r="O23" s="142">
        <v>-2876925.5599999996</v>
      </c>
      <c r="P23" s="142">
        <v>842172.94</v>
      </c>
    </row>
  </sheetData>
  <mergeCells count="3">
    <mergeCell ref="A4:A5"/>
    <mergeCell ref="B4:B5"/>
    <mergeCell ref="C4:P4"/>
  </mergeCells>
  <hyperlinks>
    <hyperlink ref="H1" location="Obsah!A1" display="Naspäť na obsah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2"/>
  <dimension ref="A1:H42"/>
  <sheetViews>
    <sheetView showGridLines="0" zoomScaleNormal="100" workbookViewId="0">
      <selection activeCell="A3" sqref="A3"/>
    </sheetView>
  </sheetViews>
  <sheetFormatPr defaultRowHeight="13.5" customHeight="1" x14ac:dyDescent="0.2"/>
  <cols>
    <col min="1" max="1" width="38.875" style="2" customWidth="1"/>
    <col min="2" max="2" width="14" style="2" customWidth="1"/>
    <col min="3" max="6" width="13.625" style="2" customWidth="1"/>
    <col min="7" max="7" width="12" style="2" customWidth="1"/>
    <col min="8" max="9" width="15.875" style="2" customWidth="1"/>
    <col min="10" max="35" width="14" style="2" customWidth="1"/>
    <col min="36" max="16384" width="9" style="2"/>
  </cols>
  <sheetData>
    <row r="1" spans="1:8" ht="13.5" customHeight="1" x14ac:dyDescent="0.2">
      <c r="A1" s="16" t="s">
        <v>139</v>
      </c>
      <c r="F1" s="128" t="s">
        <v>138</v>
      </c>
    </row>
    <row r="2" spans="1:8" ht="12.75" customHeight="1" x14ac:dyDescent="0.2">
      <c r="A2" s="6" t="s">
        <v>149</v>
      </c>
      <c r="B2" s="3"/>
      <c r="H2" s="3"/>
    </row>
    <row r="3" spans="1:8" ht="13.5" customHeight="1" x14ac:dyDescent="0.2">
      <c r="A3" s="7"/>
      <c r="H3" s="3"/>
    </row>
    <row r="4" spans="1:8" ht="18.75" customHeight="1" x14ac:dyDescent="0.2">
      <c r="A4" s="173" t="s">
        <v>29</v>
      </c>
      <c r="B4" s="173" t="s">
        <v>30</v>
      </c>
      <c r="C4" s="175" t="s">
        <v>48</v>
      </c>
      <c r="D4" s="176"/>
      <c r="E4" s="176"/>
      <c r="F4" s="177"/>
      <c r="G4" s="5"/>
    </row>
    <row r="5" spans="1:8" ht="48.75" customHeight="1" x14ac:dyDescent="0.2">
      <c r="A5" s="174"/>
      <c r="B5" s="174"/>
      <c r="C5" s="84" t="s">
        <v>24</v>
      </c>
      <c r="D5" s="84" t="s">
        <v>25</v>
      </c>
      <c r="E5" s="84" t="s">
        <v>26</v>
      </c>
      <c r="F5" s="84" t="s">
        <v>47</v>
      </c>
      <c r="G5" s="5"/>
    </row>
    <row r="6" spans="1:8" ht="13.5" customHeight="1" x14ac:dyDescent="0.2">
      <c r="A6" s="108" t="s">
        <v>11</v>
      </c>
      <c r="B6" s="116">
        <v>147</v>
      </c>
      <c r="C6" s="116">
        <v>83</v>
      </c>
      <c r="D6" s="116">
        <v>16</v>
      </c>
      <c r="E6" s="116">
        <v>12</v>
      </c>
      <c r="F6" s="116">
        <v>36</v>
      </c>
      <c r="G6" s="5"/>
    </row>
    <row r="7" spans="1:8" ht="13.5" customHeight="1" x14ac:dyDescent="0.2">
      <c r="A7" s="110" t="s">
        <v>12</v>
      </c>
      <c r="B7" s="111">
        <v>3016905485.1400003</v>
      </c>
      <c r="C7" s="111">
        <v>1446063815.1600003</v>
      </c>
      <c r="D7" s="111">
        <v>1461917960.1699998</v>
      </c>
      <c r="E7" s="111">
        <v>22545806.489999998</v>
      </c>
      <c r="F7" s="111">
        <v>86377903.319999993</v>
      </c>
      <c r="G7" s="15"/>
    </row>
    <row r="8" spans="1:8" ht="13.5" customHeight="1" x14ac:dyDescent="0.2">
      <c r="A8" s="112" t="s">
        <v>13</v>
      </c>
      <c r="B8" s="111"/>
      <c r="C8" s="111"/>
      <c r="D8" s="111"/>
      <c r="E8" s="111"/>
      <c r="F8" s="111"/>
      <c r="G8" s="15"/>
    </row>
    <row r="9" spans="1:8" ht="13.5" customHeight="1" x14ac:dyDescent="0.2">
      <c r="A9" s="59" t="s">
        <v>15</v>
      </c>
      <c r="B9" s="58">
        <v>1191887256.8899999</v>
      </c>
      <c r="C9" s="58">
        <v>584454107.04999983</v>
      </c>
      <c r="D9" s="58">
        <v>566041035.32000005</v>
      </c>
      <c r="E9" s="58">
        <v>11701608.9</v>
      </c>
      <c r="F9" s="58">
        <v>29690505.620000001</v>
      </c>
      <c r="G9" s="15"/>
    </row>
    <row r="10" spans="1:8" ht="13.5" customHeight="1" x14ac:dyDescent="0.2">
      <c r="A10" s="59" t="s">
        <v>16</v>
      </c>
      <c r="B10" s="58">
        <v>407921794.30000007</v>
      </c>
      <c r="C10" s="58">
        <v>197917905.95000008</v>
      </c>
      <c r="D10" s="58">
        <v>195751081.36000001</v>
      </c>
      <c r="E10" s="58">
        <v>4015396.23</v>
      </c>
      <c r="F10" s="58">
        <v>10237410.759999998</v>
      </c>
      <c r="G10" s="15"/>
    </row>
    <row r="11" spans="1:8" ht="13.5" customHeight="1" x14ac:dyDescent="0.2">
      <c r="A11" s="59" t="s">
        <v>17</v>
      </c>
      <c r="B11" s="58">
        <v>319622711.4600001</v>
      </c>
      <c r="C11" s="58">
        <v>127990535.78</v>
      </c>
      <c r="D11" s="58">
        <v>189732542.59000003</v>
      </c>
      <c r="E11" s="58">
        <v>634508.68000000005</v>
      </c>
      <c r="F11" s="58">
        <v>1265124.4100000001</v>
      </c>
      <c r="G11" s="15"/>
    </row>
    <row r="12" spans="1:8" ht="13.5" customHeight="1" x14ac:dyDescent="0.2">
      <c r="A12" s="59" t="s">
        <v>18</v>
      </c>
      <c r="B12" s="58">
        <v>354790385.95999992</v>
      </c>
      <c r="C12" s="58">
        <v>178443673.09999993</v>
      </c>
      <c r="D12" s="58">
        <v>175620326.13999999</v>
      </c>
      <c r="E12" s="58">
        <v>169243.17</v>
      </c>
      <c r="F12" s="58">
        <v>557143.54999999993</v>
      </c>
      <c r="G12" s="15"/>
    </row>
    <row r="13" spans="1:8" ht="13.5" customHeight="1" x14ac:dyDescent="0.2">
      <c r="A13" s="59" t="s">
        <v>28</v>
      </c>
      <c r="B13" s="58">
        <v>30067429</v>
      </c>
      <c r="C13" s="58">
        <v>12285551.889999999</v>
      </c>
      <c r="D13" s="58">
        <v>17780963.079999998</v>
      </c>
      <c r="E13" s="58">
        <v>914.03</v>
      </c>
      <c r="F13" s="113" t="s">
        <v>56</v>
      </c>
      <c r="G13" s="15"/>
    </row>
    <row r="14" spans="1:8" ht="13.5" customHeight="1" x14ac:dyDescent="0.2">
      <c r="A14" s="59" t="s">
        <v>19</v>
      </c>
      <c r="B14" s="58">
        <v>109178957.11000001</v>
      </c>
      <c r="C14" s="58">
        <v>47989795.74000001</v>
      </c>
      <c r="D14" s="58">
        <v>53779311.82</v>
      </c>
      <c r="E14" s="58">
        <v>900451.46</v>
      </c>
      <c r="F14" s="58">
        <v>6509398.0899999999</v>
      </c>
      <c r="G14" s="15"/>
    </row>
    <row r="15" spans="1:8" ht="13.5" customHeight="1" x14ac:dyDescent="0.2">
      <c r="A15" s="59" t="s">
        <v>32</v>
      </c>
      <c r="B15" s="58">
        <v>28269704.849999998</v>
      </c>
      <c r="C15" s="58">
        <v>10170865.939999999</v>
      </c>
      <c r="D15" s="58">
        <v>9880348.4199999999</v>
      </c>
      <c r="E15" s="58">
        <v>912466.97000000009</v>
      </c>
      <c r="F15" s="58">
        <v>7306023.5199999996</v>
      </c>
      <c r="G15" s="15"/>
    </row>
    <row r="16" spans="1:8" ht="13.5" customHeight="1" x14ac:dyDescent="0.2">
      <c r="A16" s="59" t="s">
        <v>20</v>
      </c>
      <c r="B16" s="58">
        <v>56963840.829999991</v>
      </c>
      <c r="C16" s="58">
        <v>26090310.389999997</v>
      </c>
      <c r="D16" s="58">
        <v>24643266.669999998</v>
      </c>
      <c r="E16" s="58">
        <v>644645.97</v>
      </c>
      <c r="F16" s="58">
        <v>5585617.7999999998</v>
      </c>
      <c r="G16" s="15"/>
    </row>
    <row r="17" spans="1:7" ht="13.5" customHeight="1" x14ac:dyDescent="0.2">
      <c r="A17" s="59" t="s">
        <v>31</v>
      </c>
      <c r="B17" s="58">
        <v>41989695.180000007</v>
      </c>
      <c r="C17" s="58">
        <v>20620216.590000004</v>
      </c>
      <c r="D17" s="58">
        <v>19043412.5</v>
      </c>
      <c r="E17" s="58">
        <v>313707.42</v>
      </c>
      <c r="F17" s="58">
        <v>2012358.67</v>
      </c>
      <c r="G17" s="15"/>
    </row>
    <row r="18" spans="1:7" ht="13.5" customHeight="1" x14ac:dyDescent="0.2">
      <c r="A18" s="59" t="s">
        <v>37</v>
      </c>
      <c r="B18" s="58">
        <v>93170337.530000016</v>
      </c>
      <c r="C18" s="58">
        <v>39740154.440000005</v>
      </c>
      <c r="D18" s="58">
        <v>40459389.130000003</v>
      </c>
      <c r="E18" s="58">
        <v>803970.95</v>
      </c>
      <c r="F18" s="58">
        <v>12166823.01</v>
      </c>
      <c r="G18" s="15"/>
    </row>
    <row r="19" spans="1:7" ht="13.5" customHeight="1" x14ac:dyDescent="0.2">
      <c r="A19" s="110" t="s">
        <v>14</v>
      </c>
      <c r="B19" s="111">
        <v>2964386816.5599995</v>
      </c>
      <c r="C19" s="111">
        <v>1476959235.0699999</v>
      </c>
      <c r="D19" s="111">
        <v>1378564434.1199999</v>
      </c>
      <c r="E19" s="111">
        <v>22169279.080000002</v>
      </c>
      <c r="F19" s="111">
        <v>86693868.289999992</v>
      </c>
      <c r="G19" s="15"/>
    </row>
    <row r="20" spans="1:7" ht="13.5" customHeight="1" x14ac:dyDescent="0.2">
      <c r="A20" s="59" t="s">
        <v>34</v>
      </c>
      <c r="B20" s="58">
        <v>2373746089.3099999</v>
      </c>
      <c r="C20" s="58">
        <v>1275223263.8199997</v>
      </c>
      <c r="D20" s="58">
        <v>1035648466.08</v>
      </c>
      <c r="E20" s="58">
        <v>18748799.760000002</v>
      </c>
      <c r="F20" s="58">
        <v>44125559.649999991</v>
      </c>
      <c r="G20" s="15"/>
    </row>
    <row r="21" spans="1:7" ht="13.5" customHeight="1" x14ac:dyDescent="0.2">
      <c r="A21" s="59" t="s">
        <v>38</v>
      </c>
      <c r="B21" s="58"/>
      <c r="C21" s="58"/>
      <c r="D21" s="58"/>
      <c r="E21" s="58"/>
      <c r="F21" s="58"/>
      <c r="G21" s="15"/>
    </row>
    <row r="22" spans="1:7" ht="13.5" customHeight="1" x14ac:dyDescent="0.2">
      <c r="A22" s="114" t="s">
        <v>58</v>
      </c>
      <c r="B22" s="58">
        <v>793715203.03999996</v>
      </c>
      <c r="C22" s="58">
        <v>424219084.82999998</v>
      </c>
      <c r="D22" s="58">
        <v>369496118.20999998</v>
      </c>
      <c r="E22" s="113" t="s">
        <v>56</v>
      </c>
      <c r="F22" s="113" t="s">
        <v>56</v>
      </c>
      <c r="G22" s="15"/>
    </row>
    <row r="23" spans="1:7" ht="13.5" customHeight="1" x14ac:dyDescent="0.2">
      <c r="A23" s="114" t="s">
        <v>39</v>
      </c>
      <c r="B23" s="58">
        <v>565883049.59000003</v>
      </c>
      <c r="C23" s="58">
        <v>281453865.89000005</v>
      </c>
      <c r="D23" s="58">
        <v>281505594.38999999</v>
      </c>
      <c r="E23" s="113">
        <v>1208692.45</v>
      </c>
      <c r="F23" s="113">
        <v>1714896.8599999999</v>
      </c>
      <c r="G23" s="15"/>
    </row>
    <row r="24" spans="1:7" ht="13.5" customHeight="1" x14ac:dyDescent="0.2">
      <c r="A24" s="114" t="s">
        <v>40</v>
      </c>
      <c r="B24" s="58">
        <v>114068465.85000002</v>
      </c>
      <c r="C24" s="58">
        <v>60932961.420000017</v>
      </c>
      <c r="D24" s="58">
        <v>262067.19</v>
      </c>
      <c r="E24" s="58">
        <v>15388777.229999999</v>
      </c>
      <c r="F24" s="58">
        <v>37484660.009999998</v>
      </c>
      <c r="G24" s="15"/>
    </row>
    <row r="25" spans="1:7" ht="13.5" customHeight="1" x14ac:dyDescent="0.2">
      <c r="A25" s="114" t="s">
        <v>41</v>
      </c>
      <c r="B25" s="58">
        <v>243942790.53000003</v>
      </c>
      <c r="C25" s="58">
        <v>108963100.24000002</v>
      </c>
      <c r="D25" s="58">
        <v>134960448.09</v>
      </c>
      <c r="E25" s="58">
        <v>19242.2</v>
      </c>
      <c r="F25" s="113" t="s">
        <v>56</v>
      </c>
      <c r="G25" s="15"/>
    </row>
    <row r="26" spans="1:7" ht="13.5" customHeight="1" x14ac:dyDescent="0.2">
      <c r="A26" s="114" t="s">
        <v>83</v>
      </c>
      <c r="B26" s="58">
        <v>106665661.15000002</v>
      </c>
      <c r="C26" s="58">
        <v>72056000.62000002</v>
      </c>
      <c r="D26" s="58">
        <v>34609041.530000001</v>
      </c>
      <c r="E26" s="58" t="s">
        <v>56</v>
      </c>
      <c r="F26" s="58">
        <v>619</v>
      </c>
      <c r="G26" s="15"/>
    </row>
    <row r="27" spans="1:7" ht="13.5" customHeight="1" x14ac:dyDescent="0.2">
      <c r="A27" s="114" t="s">
        <v>42</v>
      </c>
      <c r="B27" s="58">
        <v>380963373.72000009</v>
      </c>
      <c r="C27" s="58">
        <v>235625048.53000003</v>
      </c>
      <c r="D27" s="58">
        <v>142653397.39000002</v>
      </c>
      <c r="E27" s="58">
        <v>733987.51</v>
      </c>
      <c r="F27" s="58">
        <v>1950940.29</v>
      </c>
      <c r="G27" s="15"/>
    </row>
    <row r="28" spans="1:7" ht="13.5" customHeight="1" x14ac:dyDescent="0.2">
      <c r="A28" s="59" t="s">
        <v>21</v>
      </c>
      <c r="B28" s="58">
        <v>91632953.449999988</v>
      </c>
      <c r="C28" s="58">
        <v>38132281.279999986</v>
      </c>
      <c r="D28" s="58">
        <v>27143162.260000002</v>
      </c>
      <c r="E28" s="58">
        <v>312731.73000000004</v>
      </c>
      <c r="F28" s="58">
        <v>26044778.18</v>
      </c>
      <c r="G28" s="15"/>
    </row>
    <row r="29" spans="1:7" ht="13.5" customHeight="1" x14ac:dyDescent="0.2">
      <c r="A29" s="114" t="s">
        <v>43</v>
      </c>
      <c r="B29" s="58">
        <v>28613487.25</v>
      </c>
      <c r="C29" s="58">
        <v>14504388.890000001</v>
      </c>
      <c r="D29" s="58">
        <v>13665553.620000001</v>
      </c>
      <c r="E29" s="113" t="s">
        <v>56</v>
      </c>
      <c r="F29" s="58">
        <v>443544.74</v>
      </c>
      <c r="G29" s="15"/>
    </row>
    <row r="30" spans="1:7" ht="13.5" customHeight="1" x14ac:dyDescent="0.2">
      <c r="A30" s="114" t="s">
        <v>44</v>
      </c>
      <c r="B30" s="58">
        <v>2330403.1999999997</v>
      </c>
      <c r="C30" s="58">
        <v>1247477.0399999998</v>
      </c>
      <c r="D30" s="58">
        <v>1054812.47</v>
      </c>
      <c r="E30" s="113" t="s">
        <v>56</v>
      </c>
      <c r="F30" s="58">
        <v>28113.690000000002</v>
      </c>
      <c r="G30" s="15"/>
    </row>
    <row r="31" spans="1:7" ht="13.5" customHeight="1" x14ac:dyDescent="0.2">
      <c r="A31" s="114" t="s">
        <v>45</v>
      </c>
      <c r="B31" s="58">
        <v>3398436.8200000003</v>
      </c>
      <c r="C31" s="58">
        <v>1624675.28</v>
      </c>
      <c r="D31" s="58">
        <v>1583246.59</v>
      </c>
      <c r="E31" s="113" t="s">
        <v>56</v>
      </c>
      <c r="F31" s="58">
        <v>190514.95</v>
      </c>
      <c r="G31" s="15"/>
    </row>
    <row r="32" spans="1:7" ht="13.5" customHeight="1" x14ac:dyDescent="0.2">
      <c r="A32" s="114" t="s">
        <v>46</v>
      </c>
      <c r="B32" s="58">
        <v>57290626.18</v>
      </c>
      <c r="C32" s="58">
        <v>20755740.069999997</v>
      </c>
      <c r="D32" s="58">
        <v>10839549.58</v>
      </c>
      <c r="E32" s="58">
        <v>312731.73000000004</v>
      </c>
      <c r="F32" s="58">
        <v>25382604.800000004</v>
      </c>
      <c r="G32" s="15"/>
    </row>
    <row r="33" spans="1:7" ht="13.5" customHeight="1" x14ac:dyDescent="0.2">
      <c r="A33" s="59" t="s">
        <v>35</v>
      </c>
      <c r="B33" s="58">
        <v>87509535.770000011</v>
      </c>
      <c r="C33" s="58">
        <v>3732291.84</v>
      </c>
      <c r="D33" s="58">
        <v>82954377.74000001</v>
      </c>
      <c r="E33" s="58">
        <v>50895.19</v>
      </c>
      <c r="F33" s="58">
        <v>771971</v>
      </c>
      <c r="G33" s="15"/>
    </row>
    <row r="34" spans="1:7" ht="13.5" customHeight="1" x14ac:dyDescent="0.2">
      <c r="A34" s="59" t="s">
        <v>33</v>
      </c>
      <c r="B34" s="58">
        <v>411498238.03000003</v>
      </c>
      <c r="C34" s="58">
        <v>159871398.13</v>
      </c>
      <c r="D34" s="58">
        <v>232818428.04000002</v>
      </c>
      <c r="E34" s="58">
        <v>3056852.4000000004</v>
      </c>
      <c r="F34" s="58">
        <v>15751559.459999999</v>
      </c>
      <c r="G34" s="15"/>
    </row>
    <row r="35" spans="1:7" ht="13.5" customHeight="1" x14ac:dyDescent="0.2">
      <c r="A35" s="115" t="s">
        <v>27</v>
      </c>
      <c r="B35" s="117">
        <v>-52518668.579999983</v>
      </c>
      <c r="C35" s="117">
        <v>30895419.909999993</v>
      </c>
      <c r="D35" s="117">
        <v>-83353526.049999982</v>
      </c>
      <c r="E35" s="117">
        <v>-376527.41000000003</v>
      </c>
      <c r="F35" s="117">
        <v>315964.97000000044</v>
      </c>
      <c r="G35" s="15"/>
    </row>
    <row r="37" spans="1:7" ht="13.5" customHeight="1" x14ac:dyDescent="0.2">
      <c r="A37" s="183" t="s">
        <v>151</v>
      </c>
    </row>
    <row r="38" spans="1:7" ht="13.5" customHeight="1" x14ac:dyDescent="0.2">
      <c r="A38" s="14" t="s">
        <v>59</v>
      </c>
    </row>
    <row r="42" spans="1:7" ht="13.5" customHeight="1" x14ac:dyDescent="0.2">
      <c r="A42" s="183"/>
    </row>
  </sheetData>
  <mergeCells count="3">
    <mergeCell ref="A4:A5"/>
    <mergeCell ref="B4:B5"/>
    <mergeCell ref="C4:F4"/>
  </mergeCells>
  <hyperlinks>
    <hyperlink ref="F1" location="Obsah!A1" display="Naspäť na obsah"/>
  </hyperlinks>
  <pageMargins left="0.7" right="0.7" top="0.75" bottom="0.75" header="0.3" footer="0.3"/>
  <pageSetup paperSize="9" scale="75" orientation="portrait" r:id="rId1"/>
  <colBreaks count="1" manualBreakCount="1">
    <brk id="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3"/>
  <dimension ref="A1:M37"/>
  <sheetViews>
    <sheetView showGridLines="0" zoomScaleNormal="100" workbookViewId="0">
      <selection activeCell="A3" sqref="A3"/>
    </sheetView>
  </sheetViews>
  <sheetFormatPr defaultRowHeight="13.5" customHeight="1" x14ac:dyDescent="0.2"/>
  <cols>
    <col min="1" max="1" width="39.125" style="9" customWidth="1"/>
    <col min="2" max="3" width="17.75" style="9" customWidth="1"/>
    <col min="4" max="9" width="12" style="9" customWidth="1"/>
    <col min="10" max="11" width="13.375" style="9" customWidth="1"/>
    <col min="12" max="12" width="20.875" style="9" customWidth="1"/>
    <col min="13" max="13" width="15.875" style="10" customWidth="1"/>
    <col min="14" max="14" width="16.5" style="9" customWidth="1"/>
    <col min="15" max="30" width="13.5" style="9" customWidth="1"/>
    <col min="31" max="34" width="8" style="9"/>
    <col min="35" max="16384" width="9" style="9"/>
  </cols>
  <sheetData>
    <row r="1" spans="1:11" ht="13.5" customHeight="1" x14ac:dyDescent="0.2">
      <c r="A1" s="16" t="s">
        <v>139</v>
      </c>
      <c r="D1" s="128" t="s">
        <v>138</v>
      </c>
    </row>
    <row r="2" spans="1:11" ht="13.5" customHeight="1" x14ac:dyDescent="0.2">
      <c r="A2" s="6" t="s">
        <v>148</v>
      </c>
    </row>
    <row r="3" spans="1:11" ht="13.5" customHeight="1" x14ac:dyDescent="0.2">
      <c r="A3" s="8"/>
      <c r="E3" s="118"/>
      <c r="F3" s="118"/>
      <c r="G3" s="118"/>
      <c r="H3" s="118"/>
      <c r="I3" s="118"/>
    </row>
    <row r="4" spans="1:11" s="14" customFormat="1" ht="16.5" customHeight="1" x14ac:dyDescent="0.2">
      <c r="A4" s="173" t="s">
        <v>29</v>
      </c>
      <c r="B4" s="178" t="s">
        <v>55</v>
      </c>
      <c r="C4" s="179"/>
      <c r="D4" s="11"/>
      <c r="E4" s="126"/>
      <c r="F4" s="127"/>
      <c r="G4" s="127"/>
      <c r="H4" s="12"/>
      <c r="I4" s="11"/>
      <c r="J4" s="4"/>
      <c r="K4" s="13"/>
    </row>
    <row r="5" spans="1:11" ht="36" customHeight="1" x14ac:dyDescent="0.2">
      <c r="A5" s="174"/>
      <c r="B5" s="84" t="s">
        <v>53</v>
      </c>
      <c r="C5" s="84" t="s">
        <v>54</v>
      </c>
      <c r="E5" s="126"/>
      <c r="F5" s="17"/>
      <c r="G5" s="17"/>
      <c r="H5" s="118"/>
      <c r="I5" s="118"/>
    </row>
    <row r="6" spans="1:11" ht="13.5" customHeight="1" x14ac:dyDescent="0.2">
      <c r="A6" s="108" t="s">
        <v>11</v>
      </c>
      <c r="B6" s="109">
        <v>7732</v>
      </c>
      <c r="C6" s="109">
        <v>1779</v>
      </c>
      <c r="E6" s="119"/>
      <c r="F6" s="120"/>
      <c r="G6" s="120"/>
      <c r="H6" s="11"/>
      <c r="I6" s="11"/>
    </row>
    <row r="7" spans="1:11" ht="13.5" customHeight="1" x14ac:dyDescent="0.2">
      <c r="A7" s="110" t="s">
        <v>12</v>
      </c>
      <c r="B7" s="111">
        <v>1288429101.5800004</v>
      </c>
      <c r="C7" s="111">
        <v>1682323467.9800012</v>
      </c>
      <c r="E7" s="121"/>
      <c r="F7" s="122"/>
      <c r="G7" s="122"/>
      <c r="H7" s="11"/>
      <c r="I7" s="11"/>
    </row>
    <row r="8" spans="1:11" ht="13.5" customHeight="1" x14ac:dyDescent="0.2">
      <c r="A8" s="112" t="s">
        <v>49</v>
      </c>
      <c r="B8" s="111"/>
      <c r="C8" s="111"/>
      <c r="E8" s="102"/>
      <c r="F8" s="122"/>
      <c r="G8" s="122"/>
      <c r="H8" s="11"/>
      <c r="I8" s="11"/>
    </row>
    <row r="9" spans="1:11" ht="13.5" customHeight="1" x14ac:dyDescent="0.2">
      <c r="A9" s="59" t="s">
        <v>15</v>
      </c>
      <c r="B9" s="58">
        <v>427311738.67000079</v>
      </c>
      <c r="C9" s="58">
        <v>114179529.76999992</v>
      </c>
      <c r="E9" s="123"/>
      <c r="F9" s="32"/>
      <c r="G9" s="32"/>
      <c r="H9" s="11"/>
      <c r="I9" s="11"/>
    </row>
    <row r="10" spans="1:11" ht="13.5" customHeight="1" x14ac:dyDescent="0.2">
      <c r="A10" s="59" t="s">
        <v>16</v>
      </c>
      <c r="B10" s="58">
        <v>160205202.96000051</v>
      </c>
      <c r="C10" s="58">
        <v>41879395.129999951</v>
      </c>
      <c r="E10" s="123"/>
      <c r="F10" s="32"/>
      <c r="G10" s="32"/>
      <c r="H10" s="11"/>
      <c r="I10" s="11"/>
    </row>
    <row r="11" spans="1:11" ht="13.5" customHeight="1" x14ac:dyDescent="0.2">
      <c r="A11" s="59" t="s">
        <v>17</v>
      </c>
      <c r="B11" s="58">
        <v>44723882.48999995</v>
      </c>
      <c r="C11" s="58">
        <v>996575143.24999881</v>
      </c>
      <c r="E11" s="123"/>
      <c r="F11" s="32"/>
      <c r="G11" s="32"/>
      <c r="H11" s="11"/>
      <c r="I11" s="11"/>
    </row>
    <row r="12" spans="1:11" ht="13.5" customHeight="1" x14ac:dyDescent="0.2">
      <c r="A12" s="59" t="s">
        <v>18</v>
      </c>
      <c r="B12" s="58">
        <v>92903654.179999992</v>
      </c>
      <c r="C12" s="58">
        <v>149026260.36999992</v>
      </c>
      <c r="D12" s="14"/>
      <c r="E12" s="123"/>
      <c r="F12" s="32"/>
      <c r="G12" s="32"/>
      <c r="H12" s="11"/>
      <c r="I12" s="11"/>
    </row>
    <row r="13" spans="1:11" ht="13.5" customHeight="1" x14ac:dyDescent="0.2">
      <c r="A13" s="59" t="s">
        <v>50</v>
      </c>
      <c r="B13" s="58">
        <v>428330.52999999997</v>
      </c>
      <c r="C13" s="58">
        <v>204108994.41999993</v>
      </c>
      <c r="E13" s="123"/>
      <c r="F13" s="32"/>
      <c r="G13" s="32"/>
      <c r="H13" s="11"/>
      <c r="I13" s="11"/>
    </row>
    <row r="14" spans="1:11" ht="13.5" customHeight="1" x14ac:dyDescent="0.2">
      <c r="A14" s="59" t="s">
        <v>28</v>
      </c>
      <c r="B14" s="58">
        <v>1201899.6099999999</v>
      </c>
      <c r="C14" s="58">
        <v>1426.8</v>
      </c>
      <c r="E14" s="123"/>
      <c r="F14" s="32"/>
      <c r="G14" s="32"/>
      <c r="H14" s="11"/>
      <c r="I14" s="11"/>
    </row>
    <row r="15" spans="1:11" ht="13.5" customHeight="1" x14ac:dyDescent="0.2">
      <c r="A15" s="59" t="s">
        <v>19</v>
      </c>
      <c r="B15" s="113">
        <v>90089536.759999976</v>
      </c>
      <c r="C15" s="113">
        <v>17556483.629999999</v>
      </c>
      <c r="E15" s="123"/>
      <c r="F15" s="124"/>
      <c r="G15" s="124"/>
      <c r="H15" s="11"/>
      <c r="I15" s="11"/>
    </row>
    <row r="16" spans="1:11" ht="13.5" customHeight="1" x14ac:dyDescent="0.2">
      <c r="A16" s="59" t="s">
        <v>20</v>
      </c>
      <c r="B16" s="113">
        <v>17597491.38000001</v>
      </c>
      <c r="C16" s="113">
        <v>5640801.570000004</v>
      </c>
      <c r="E16" s="123"/>
      <c r="F16" s="124"/>
      <c r="G16" s="124"/>
      <c r="H16" s="11"/>
      <c r="I16" s="11"/>
    </row>
    <row r="17" spans="1:13" ht="13.5" customHeight="1" x14ac:dyDescent="0.2">
      <c r="A17" s="59" t="s">
        <v>31</v>
      </c>
      <c r="B17" s="58">
        <v>29168170.589999981</v>
      </c>
      <c r="C17" s="58">
        <v>5219000.9700000053</v>
      </c>
      <c r="E17" s="123"/>
      <c r="F17" s="32"/>
      <c r="G17" s="32"/>
      <c r="H17" s="11"/>
      <c r="I17" s="11"/>
    </row>
    <row r="18" spans="1:13" ht="13.5" customHeight="1" x14ac:dyDescent="0.2">
      <c r="A18" s="59" t="s">
        <v>37</v>
      </c>
      <c r="B18" s="58">
        <v>80521496.239999935</v>
      </c>
      <c r="C18" s="58">
        <v>15246503.339999992</v>
      </c>
      <c r="E18" s="123"/>
      <c r="F18" s="32"/>
      <c r="G18" s="32"/>
      <c r="H18" s="11"/>
      <c r="I18" s="11"/>
    </row>
    <row r="19" spans="1:13" ht="13.5" customHeight="1" x14ac:dyDescent="0.2">
      <c r="A19" s="110" t="s">
        <v>14</v>
      </c>
      <c r="B19" s="111">
        <v>1542116283.9700038</v>
      </c>
      <c r="C19" s="111">
        <v>1719682456.0000014</v>
      </c>
      <c r="E19" s="121"/>
      <c r="F19" s="122"/>
      <c r="G19" s="122"/>
      <c r="H19" s="11"/>
      <c r="I19" s="11"/>
      <c r="M19" s="13"/>
    </row>
    <row r="20" spans="1:13" ht="13.5" customHeight="1" x14ac:dyDescent="0.2">
      <c r="A20" s="59" t="s">
        <v>34</v>
      </c>
      <c r="B20" s="58">
        <v>1195239195.400002</v>
      </c>
      <c r="C20" s="58">
        <v>887334501.42000043</v>
      </c>
      <c r="E20" s="123"/>
      <c r="F20" s="32"/>
      <c r="G20" s="32"/>
      <c r="H20" s="11"/>
      <c r="I20" s="11"/>
      <c r="M20" s="13"/>
    </row>
    <row r="21" spans="1:13" ht="13.5" customHeight="1" x14ac:dyDescent="0.2">
      <c r="A21" s="59" t="s">
        <v>38</v>
      </c>
      <c r="B21" s="58"/>
      <c r="C21" s="58"/>
      <c r="E21" s="123"/>
      <c r="F21" s="32"/>
      <c r="G21" s="32"/>
      <c r="H21" s="11"/>
      <c r="I21" s="11"/>
      <c r="M21" s="13"/>
    </row>
    <row r="22" spans="1:13" ht="13.5" customHeight="1" x14ac:dyDescent="0.2">
      <c r="A22" s="114" t="s">
        <v>41</v>
      </c>
      <c r="B22" s="58">
        <v>9173183.1299999952</v>
      </c>
      <c r="C22" s="58">
        <v>28149.4</v>
      </c>
      <c r="E22" s="125"/>
      <c r="F22" s="32"/>
      <c r="G22" s="32"/>
      <c r="H22" s="11"/>
      <c r="I22" s="11"/>
      <c r="M22" s="13"/>
    </row>
    <row r="23" spans="1:13" ht="13.5" customHeight="1" x14ac:dyDescent="0.2">
      <c r="A23" s="114" t="s">
        <v>51</v>
      </c>
      <c r="B23" s="58">
        <v>11009765.15</v>
      </c>
      <c r="C23" s="113" t="s">
        <v>56</v>
      </c>
      <c r="E23" s="125"/>
      <c r="F23" s="32"/>
      <c r="G23" s="124"/>
      <c r="H23" s="11"/>
      <c r="I23" s="11"/>
      <c r="M23" s="13"/>
    </row>
    <row r="24" spans="1:13" ht="13.5" customHeight="1" x14ac:dyDescent="0.2">
      <c r="A24" s="114" t="s">
        <v>83</v>
      </c>
      <c r="B24" s="58">
        <v>56977520.62000002</v>
      </c>
      <c r="C24" s="113">
        <v>18920.919999999998</v>
      </c>
      <c r="E24" s="125"/>
      <c r="F24" s="32"/>
      <c r="G24" s="32"/>
      <c r="H24" s="11"/>
      <c r="I24" s="11"/>
      <c r="M24" s="13"/>
    </row>
    <row r="25" spans="1:13" ht="13.5" customHeight="1" x14ac:dyDescent="0.2">
      <c r="A25" s="114" t="s">
        <v>42</v>
      </c>
      <c r="B25" s="58">
        <v>703465288.13000143</v>
      </c>
      <c r="C25" s="58">
        <v>2806434.81</v>
      </c>
      <c r="E25" s="125"/>
      <c r="F25" s="32"/>
      <c r="G25" s="32"/>
      <c r="H25" s="11"/>
      <c r="I25" s="11"/>
    </row>
    <row r="26" spans="1:13" ht="13.5" customHeight="1" x14ac:dyDescent="0.2">
      <c r="A26" s="114" t="s">
        <v>52</v>
      </c>
      <c r="B26" s="58">
        <v>351643215.13999963</v>
      </c>
      <c r="C26" s="58">
        <v>722364.59</v>
      </c>
      <c r="E26" s="125"/>
      <c r="F26" s="32"/>
      <c r="G26" s="32"/>
      <c r="H26" s="11"/>
      <c r="I26" s="11"/>
      <c r="M26" s="13"/>
    </row>
    <row r="27" spans="1:13" ht="13.5" customHeight="1" x14ac:dyDescent="0.2">
      <c r="A27" s="59" t="s">
        <v>21</v>
      </c>
      <c r="B27" s="58">
        <v>232769377.29000011</v>
      </c>
      <c r="C27" s="58">
        <v>740068491.04000115</v>
      </c>
      <c r="E27" s="123"/>
      <c r="F27" s="32"/>
      <c r="G27" s="32"/>
      <c r="H27" s="11"/>
      <c r="I27" s="11"/>
      <c r="M27" s="13"/>
    </row>
    <row r="28" spans="1:13" ht="13.5" customHeight="1" x14ac:dyDescent="0.2">
      <c r="A28" s="114" t="s">
        <v>43</v>
      </c>
      <c r="B28" s="58">
        <v>5730288.2799999993</v>
      </c>
      <c r="C28" s="58">
        <v>426493019.03000027</v>
      </c>
      <c r="E28" s="125"/>
      <c r="F28" s="32"/>
      <c r="G28" s="32"/>
      <c r="H28" s="11"/>
      <c r="I28" s="11"/>
      <c r="M28" s="13"/>
    </row>
    <row r="29" spans="1:13" ht="13.5" customHeight="1" x14ac:dyDescent="0.2">
      <c r="A29" s="114" t="s">
        <v>44</v>
      </c>
      <c r="B29" s="58">
        <v>2439994.4500000007</v>
      </c>
      <c r="C29" s="58">
        <v>58606212.049999967</v>
      </c>
      <c r="E29" s="125"/>
      <c r="F29" s="32"/>
      <c r="G29" s="32"/>
      <c r="H29" s="11"/>
      <c r="I29" s="11"/>
      <c r="M29" s="13"/>
    </row>
    <row r="30" spans="1:13" ht="13.5" customHeight="1" x14ac:dyDescent="0.2">
      <c r="A30" s="114" t="s">
        <v>45</v>
      </c>
      <c r="B30" s="58">
        <v>668979.40999999992</v>
      </c>
      <c r="C30" s="58">
        <v>239336263.63999966</v>
      </c>
      <c r="E30" s="125"/>
      <c r="F30" s="32"/>
      <c r="G30" s="32"/>
      <c r="H30" s="11"/>
      <c r="I30" s="11"/>
    </row>
    <row r="31" spans="1:13" ht="13.5" customHeight="1" x14ac:dyDescent="0.2">
      <c r="A31" s="114" t="s">
        <v>46</v>
      </c>
      <c r="B31" s="58">
        <v>223930115.15000004</v>
      </c>
      <c r="C31" s="58">
        <v>15632996.32000001</v>
      </c>
      <c r="E31" s="125"/>
      <c r="F31" s="32"/>
      <c r="G31" s="32"/>
      <c r="H31" s="11"/>
      <c r="I31" s="11"/>
    </row>
    <row r="32" spans="1:13" ht="13.5" customHeight="1" x14ac:dyDescent="0.2">
      <c r="A32" s="59" t="s">
        <v>35</v>
      </c>
      <c r="B32" s="58">
        <v>4494532.91</v>
      </c>
      <c r="C32" s="58">
        <v>87882.22</v>
      </c>
      <c r="E32" s="123"/>
      <c r="F32" s="32"/>
      <c r="G32" s="32"/>
      <c r="H32" s="11"/>
      <c r="I32" s="11"/>
    </row>
    <row r="33" spans="1:9" ht="13.5" customHeight="1" x14ac:dyDescent="0.2">
      <c r="A33" s="59" t="s">
        <v>33</v>
      </c>
      <c r="B33" s="58">
        <v>109613178.37000011</v>
      </c>
      <c r="C33" s="58">
        <v>92191581.319999889</v>
      </c>
      <c r="E33" s="123"/>
      <c r="F33" s="32"/>
      <c r="G33" s="32"/>
      <c r="H33" s="11"/>
      <c r="I33" s="11"/>
    </row>
    <row r="34" spans="1:9" ht="13.5" customHeight="1" x14ac:dyDescent="0.2">
      <c r="A34" s="115" t="s">
        <v>27</v>
      </c>
      <c r="B34" s="117">
        <v>253687182.39000028</v>
      </c>
      <c r="C34" s="117">
        <v>37358988.019999996</v>
      </c>
      <c r="E34" s="121"/>
      <c r="F34" s="122"/>
      <c r="G34" s="122"/>
      <c r="H34" s="11"/>
      <c r="I34" s="11"/>
    </row>
    <row r="35" spans="1:9" ht="13.5" customHeight="1" x14ac:dyDescent="0.2">
      <c r="E35" s="118"/>
      <c r="F35" s="118"/>
      <c r="G35" s="118"/>
      <c r="H35" s="118"/>
      <c r="I35" s="118"/>
    </row>
    <row r="36" spans="1:9" ht="13.5" customHeight="1" x14ac:dyDescent="0.2">
      <c r="E36" s="118"/>
      <c r="F36" s="118"/>
      <c r="G36" s="118"/>
      <c r="H36" s="118"/>
      <c r="I36" s="118"/>
    </row>
    <row r="37" spans="1:9" ht="13.5" customHeight="1" x14ac:dyDescent="0.2">
      <c r="E37" s="118"/>
      <c r="F37" s="118"/>
      <c r="G37" s="118"/>
      <c r="H37" s="118"/>
      <c r="I37" s="118"/>
    </row>
  </sheetData>
  <mergeCells count="2">
    <mergeCell ref="A4:A5"/>
    <mergeCell ref="B4:C4"/>
  </mergeCells>
  <hyperlinks>
    <hyperlink ref="D1" location="Obsah!A1" display="Naspäť na obsah"/>
  </hyperlink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showGridLines="0" zoomScaleNormal="100" workbookViewId="0">
      <selection activeCell="A3" sqref="A3"/>
    </sheetView>
  </sheetViews>
  <sheetFormatPr defaultRowHeight="13.5" customHeight="1" x14ac:dyDescent="0.2"/>
  <cols>
    <col min="1" max="1" width="27.5" style="2" bestFit="1" customWidth="1"/>
    <col min="2" max="2" width="13.5" style="3" customWidth="1"/>
    <col min="3" max="4" width="13.5" style="2" customWidth="1"/>
    <col min="5" max="10" width="12.625" style="2" customWidth="1"/>
    <col min="11" max="11" width="12.625" style="3" customWidth="1"/>
    <col min="12" max="12" width="21.375" style="2" bestFit="1" customWidth="1"/>
    <col min="13" max="15" width="9.625" style="2" customWidth="1"/>
    <col min="16" max="17" width="11" style="2" customWidth="1"/>
    <col min="18" max="16384" width="9" style="2"/>
  </cols>
  <sheetData>
    <row r="1" spans="1:12" ht="13.5" customHeight="1" x14ac:dyDescent="0.2">
      <c r="A1" s="16" t="s">
        <v>139</v>
      </c>
      <c r="F1" s="128" t="s">
        <v>138</v>
      </c>
      <c r="G1" s="33"/>
      <c r="H1" s="23"/>
      <c r="I1" s="23"/>
      <c r="J1" s="23"/>
      <c r="K1" s="30"/>
    </row>
    <row r="2" spans="1:12" ht="13.5" customHeight="1" x14ac:dyDescent="0.2">
      <c r="A2" s="33" t="s">
        <v>147</v>
      </c>
      <c r="G2" s="23"/>
      <c r="H2" s="23"/>
      <c r="I2" s="23"/>
      <c r="J2" s="23"/>
      <c r="K2" s="24"/>
      <c r="L2" s="23"/>
    </row>
    <row r="3" spans="1:12" ht="13.5" customHeight="1" x14ac:dyDescent="0.2">
      <c r="G3" s="22"/>
      <c r="H3" s="23"/>
      <c r="I3" s="23"/>
      <c r="J3" s="23"/>
      <c r="K3" s="24"/>
      <c r="L3" s="23"/>
    </row>
    <row r="4" spans="1:12" ht="13.5" customHeight="1" x14ac:dyDescent="0.2">
      <c r="A4" s="180" t="s">
        <v>29</v>
      </c>
      <c r="B4" s="182" t="s">
        <v>84</v>
      </c>
      <c r="C4" s="180"/>
      <c r="D4" s="180"/>
      <c r="G4" s="22"/>
      <c r="H4" s="23"/>
      <c r="I4" s="23"/>
      <c r="J4" s="23"/>
      <c r="K4" s="24"/>
      <c r="L4" s="23"/>
    </row>
    <row r="5" spans="1:12" ht="39.75" customHeight="1" x14ac:dyDescent="0.2">
      <c r="A5" s="181"/>
      <c r="B5" s="34" t="s">
        <v>78</v>
      </c>
      <c r="C5" s="35" t="s">
        <v>79</v>
      </c>
      <c r="D5" s="35" t="s">
        <v>76</v>
      </c>
      <c r="G5" s="22"/>
      <c r="H5" s="23"/>
      <c r="I5" s="23"/>
      <c r="J5" s="23"/>
      <c r="K5" s="24"/>
      <c r="L5" s="23"/>
    </row>
    <row r="6" spans="1:12" ht="13.5" customHeight="1" x14ac:dyDescent="0.2">
      <c r="A6" s="60" t="s">
        <v>12</v>
      </c>
      <c r="B6" s="61">
        <v>1288429101.5800009</v>
      </c>
      <c r="C6" s="62">
        <v>3016905485.1400003</v>
      </c>
      <c r="D6" s="62">
        <v>1682323467.9799998</v>
      </c>
      <c r="G6" s="22"/>
      <c r="H6" s="23"/>
      <c r="I6" s="23"/>
      <c r="J6" s="23"/>
      <c r="K6" s="24"/>
      <c r="L6" s="23"/>
    </row>
    <row r="7" spans="1:12" ht="13.5" customHeight="1" x14ac:dyDescent="0.2">
      <c r="A7" s="63" t="s">
        <v>60</v>
      </c>
      <c r="B7" s="58">
        <v>587516941.63000119</v>
      </c>
      <c r="C7" s="64">
        <v>1599809051.1899996</v>
      </c>
      <c r="D7" s="64">
        <v>156058924.89999986</v>
      </c>
      <c r="G7" s="22"/>
      <c r="H7" s="23"/>
      <c r="I7" s="23"/>
      <c r="J7" s="23"/>
      <c r="K7" s="24"/>
    </row>
    <row r="8" spans="1:12" ht="13.5" customHeight="1" x14ac:dyDescent="0.2">
      <c r="A8" s="65" t="s">
        <v>61</v>
      </c>
      <c r="B8" s="58">
        <v>44723882.489999957</v>
      </c>
      <c r="C8" s="64">
        <v>319622711.46000004</v>
      </c>
      <c r="D8" s="64">
        <v>996575143.24999869</v>
      </c>
      <c r="G8" s="22"/>
      <c r="H8" s="23"/>
      <c r="I8" s="23"/>
      <c r="J8" s="23"/>
      <c r="K8" s="24"/>
    </row>
    <row r="9" spans="1:12" ht="13.5" customHeight="1" x14ac:dyDescent="0.2">
      <c r="A9" s="65" t="s">
        <v>18</v>
      </c>
      <c r="B9" s="58">
        <v>92903654.180000022</v>
      </c>
      <c r="C9" s="64">
        <v>354790385.95999998</v>
      </c>
      <c r="D9" s="64">
        <v>149026260.36999992</v>
      </c>
      <c r="G9" s="22"/>
      <c r="H9" s="23"/>
      <c r="I9" s="23"/>
      <c r="J9" s="23"/>
      <c r="K9" s="24"/>
    </row>
    <row r="10" spans="1:12" ht="13.5" customHeight="1" x14ac:dyDescent="0.2">
      <c r="A10" s="59" t="s">
        <v>63</v>
      </c>
      <c r="B10" s="58">
        <v>428330.52999999997</v>
      </c>
      <c r="C10" s="64">
        <v>12147881.639999999</v>
      </c>
      <c r="D10" s="64">
        <v>204108994.4199999</v>
      </c>
      <c r="G10" s="22"/>
      <c r="H10" s="23"/>
      <c r="I10" s="23"/>
      <c r="J10" s="23"/>
      <c r="K10" s="24"/>
    </row>
    <row r="11" spans="1:12" ht="13.5" customHeight="1" x14ac:dyDescent="0.2">
      <c r="A11" s="59" t="s">
        <v>28</v>
      </c>
      <c r="B11" s="58">
        <v>1201899.6099999999</v>
      </c>
      <c r="C11" s="64">
        <v>30067429</v>
      </c>
      <c r="D11" s="64">
        <v>1426.8</v>
      </c>
      <c r="G11" s="22"/>
      <c r="H11" s="23"/>
      <c r="I11" s="23"/>
      <c r="J11" s="23"/>
      <c r="K11" s="24"/>
    </row>
    <row r="12" spans="1:12" ht="13.5" customHeight="1" x14ac:dyDescent="0.2">
      <c r="A12" s="59" t="s">
        <v>66</v>
      </c>
      <c r="B12" s="58">
        <v>90089536.759999946</v>
      </c>
      <c r="C12" s="64">
        <v>109178957.11000001</v>
      </c>
      <c r="D12" s="64">
        <v>17556483.629999999</v>
      </c>
      <c r="G12" s="22"/>
      <c r="H12" s="23"/>
      <c r="I12" s="23"/>
      <c r="J12" s="23"/>
      <c r="K12" s="24"/>
    </row>
    <row r="13" spans="1:12" ht="13.5" customHeight="1" x14ac:dyDescent="0.2">
      <c r="A13" s="59" t="s">
        <v>20</v>
      </c>
      <c r="B13" s="58">
        <v>17597491.38000001</v>
      </c>
      <c r="C13" s="64">
        <v>56963840.830000006</v>
      </c>
      <c r="D13" s="64">
        <v>5640801.5700000022</v>
      </c>
      <c r="G13" s="22"/>
      <c r="H13" s="23"/>
      <c r="I13" s="23"/>
      <c r="J13" s="23"/>
      <c r="K13" s="24"/>
    </row>
    <row r="14" spans="1:12" ht="13.5" customHeight="1" x14ac:dyDescent="0.2">
      <c r="A14" s="59" t="s">
        <v>68</v>
      </c>
      <c r="B14" s="113" t="s">
        <v>56</v>
      </c>
      <c r="C14" s="80">
        <v>28269704.849999998</v>
      </c>
      <c r="D14" s="80" t="s">
        <v>56</v>
      </c>
      <c r="G14" s="22"/>
      <c r="H14" s="23"/>
      <c r="I14" s="23"/>
      <c r="J14" s="23"/>
      <c r="K14" s="24"/>
    </row>
    <row r="15" spans="1:12" ht="13.5" customHeight="1" x14ac:dyDescent="0.2">
      <c r="A15" s="59" t="s">
        <v>69</v>
      </c>
      <c r="B15" s="58">
        <v>29168170.589999989</v>
      </c>
      <c r="C15" s="64">
        <v>41989695.18</v>
      </c>
      <c r="D15" s="64">
        <v>5219000.9700000072</v>
      </c>
      <c r="G15" s="22"/>
      <c r="H15" s="23"/>
      <c r="I15" s="23"/>
      <c r="J15" s="23"/>
      <c r="K15" s="24"/>
    </row>
    <row r="16" spans="1:12" ht="13.5" customHeight="1" x14ac:dyDescent="0.2">
      <c r="A16" s="66" t="s">
        <v>70</v>
      </c>
      <c r="B16" s="67">
        <f>B6-SUM(B7:B15)</f>
        <v>424799194.40999961</v>
      </c>
      <c r="C16" s="67">
        <f t="shared" ref="C16:D16" si="0">C6-SUM(C7:C15)</f>
        <v>464065827.92000103</v>
      </c>
      <c r="D16" s="67">
        <f>D6-SUM(D7:D15)</f>
        <v>148136432.07000136</v>
      </c>
      <c r="G16" s="22"/>
      <c r="H16" s="23"/>
      <c r="I16" s="23"/>
      <c r="J16" s="23"/>
      <c r="K16" s="24"/>
    </row>
    <row r="17" spans="1:11" ht="13.5" customHeight="1" x14ac:dyDescent="0.2">
      <c r="A17" s="45" t="s">
        <v>85</v>
      </c>
      <c r="B17" s="46"/>
      <c r="C17" s="47"/>
      <c r="D17" s="47"/>
      <c r="G17" s="22"/>
      <c r="H17" s="23"/>
      <c r="I17" s="23"/>
      <c r="J17" s="23"/>
      <c r="K17" s="24"/>
    </row>
    <row r="18" spans="1:11" ht="13.5" customHeight="1" x14ac:dyDescent="0.2">
      <c r="A18" s="89" t="s">
        <v>73</v>
      </c>
      <c r="B18" s="68">
        <v>0.45599477760128909</v>
      </c>
      <c r="C18" s="68">
        <v>0.53028146193839409</v>
      </c>
      <c r="D18" s="68">
        <v>9.2763923151701025E-2</v>
      </c>
      <c r="G18" s="22"/>
      <c r="H18" s="23"/>
      <c r="I18" s="23"/>
      <c r="J18" s="23"/>
      <c r="K18" s="24"/>
    </row>
    <row r="19" spans="1:11" ht="13.5" customHeight="1" x14ac:dyDescent="0.2">
      <c r="A19" s="90" t="s">
        <v>17</v>
      </c>
      <c r="B19" s="69">
        <v>3.4711946846865731E-2</v>
      </c>
      <c r="C19" s="69">
        <v>0.10594389285124318</v>
      </c>
      <c r="D19" s="69">
        <v>0.5923802183218706</v>
      </c>
      <c r="G19" s="22"/>
      <c r="H19" s="23"/>
      <c r="I19" s="23"/>
      <c r="J19" s="23"/>
      <c r="K19" s="24"/>
    </row>
    <row r="20" spans="1:11" ht="13.5" customHeight="1" x14ac:dyDescent="0.2">
      <c r="A20" s="90" t="s">
        <v>18</v>
      </c>
      <c r="B20" s="69">
        <v>7.2106143881779952E-2</v>
      </c>
      <c r="C20" s="69">
        <v>0.11760076267140196</v>
      </c>
      <c r="D20" s="69">
        <v>8.8583594776181065E-2</v>
      </c>
      <c r="G20" s="22"/>
      <c r="H20" s="23"/>
      <c r="I20" s="23"/>
      <c r="J20" s="23"/>
      <c r="K20" s="24"/>
    </row>
    <row r="21" spans="1:11" ht="13.5" customHeight="1" x14ac:dyDescent="0.2">
      <c r="A21" s="85" t="s">
        <v>63</v>
      </c>
      <c r="B21" s="69">
        <v>3.3244400446616593E-4</v>
      </c>
      <c r="C21" s="69">
        <v>4.0266033191411936E-3</v>
      </c>
      <c r="D21" s="69">
        <v>0.1213256536598623</v>
      </c>
      <c r="G21" s="22"/>
      <c r="H21" s="23"/>
      <c r="I21" s="23"/>
      <c r="J21" s="23"/>
      <c r="K21" s="24"/>
    </row>
    <row r="22" spans="1:11" ht="13.5" customHeight="1" x14ac:dyDescent="0.2">
      <c r="A22" s="85" t="s">
        <v>28</v>
      </c>
      <c r="B22" s="69">
        <v>9.3284109193599409E-4</v>
      </c>
      <c r="C22" s="69">
        <v>9.9663145392188887E-3</v>
      </c>
      <c r="D22" s="69">
        <v>8.4811276021322339E-7</v>
      </c>
      <c r="H22" s="23"/>
      <c r="I22" s="23"/>
      <c r="J22" s="23"/>
      <c r="K22" s="24"/>
    </row>
    <row r="23" spans="1:11" ht="13.5" customHeight="1" x14ac:dyDescent="0.2">
      <c r="A23" s="85" t="s">
        <v>19</v>
      </c>
      <c r="B23" s="69">
        <v>6.9921997764194499E-2</v>
      </c>
      <c r="C23" s="69">
        <v>3.6189054528810848E-2</v>
      </c>
      <c r="D23" s="69">
        <v>1.0435854913847471E-2</v>
      </c>
      <c r="G23" s="22"/>
      <c r="H23" s="23"/>
      <c r="I23" s="23"/>
      <c r="J23" s="23"/>
      <c r="K23" s="24"/>
    </row>
    <row r="24" spans="1:11" ht="13.5" customHeight="1" x14ac:dyDescent="0.2">
      <c r="A24" s="85" t="s">
        <v>20</v>
      </c>
      <c r="B24" s="69">
        <v>1.3658098345046851E-2</v>
      </c>
      <c r="C24" s="69">
        <v>1.8881546376106173E-2</v>
      </c>
      <c r="D24" s="69">
        <v>3.3529827511548822E-3</v>
      </c>
      <c r="G24" s="22"/>
      <c r="H24" s="23"/>
      <c r="I24" s="23"/>
      <c r="J24" s="23"/>
      <c r="K24" s="24"/>
    </row>
    <row r="25" spans="1:11" ht="13.5" customHeight="1" x14ac:dyDescent="0.2">
      <c r="A25" s="85" t="s">
        <v>32</v>
      </c>
      <c r="B25" s="80" t="s">
        <v>56</v>
      </c>
      <c r="C25" s="69">
        <v>9.3704310556776138E-3</v>
      </c>
      <c r="D25" s="80" t="s">
        <v>56</v>
      </c>
      <c r="H25" s="23"/>
      <c r="I25" s="23"/>
      <c r="J25" s="23"/>
      <c r="K25" s="24"/>
    </row>
    <row r="26" spans="1:11" ht="13.5" customHeight="1" x14ac:dyDescent="0.2">
      <c r="A26" s="85" t="s">
        <v>74</v>
      </c>
      <c r="B26" s="69">
        <v>2.2638553067631781E-2</v>
      </c>
      <c r="C26" s="69">
        <v>1.3918134123466402E-2</v>
      </c>
      <c r="D26" s="69">
        <v>3.1022577223312284E-3</v>
      </c>
      <c r="H26" s="23"/>
      <c r="I26" s="23"/>
      <c r="J26" s="23"/>
      <c r="K26" s="24"/>
    </row>
    <row r="27" spans="1:11" ht="13.5" customHeight="1" x14ac:dyDescent="0.2">
      <c r="A27" s="91" t="s">
        <v>75</v>
      </c>
      <c r="B27" s="70">
        <v>0.32970319739678983</v>
      </c>
      <c r="C27" s="70">
        <v>0.15382179859653969</v>
      </c>
      <c r="D27" s="70">
        <v>8.8054666590291236E-2</v>
      </c>
      <c r="G27" s="33"/>
      <c r="H27" s="23"/>
      <c r="I27" s="23"/>
      <c r="J27" s="23"/>
      <c r="K27" s="24"/>
    </row>
    <row r="28" spans="1:11" ht="13.5" customHeight="1" x14ac:dyDescent="0.2">
      <c r="G28" s="23"/>
      <c r="H28" s="23"/>
      <c r="I28" s="23"/>
      <c r="J28" s="23"/>
      <c r="K28" s="24"/>
    </row>
    <row r="29" spans="1:11" ht="13.5" customHeight="1" x14ac:dyDescent="0.2">
      <c r="G29" s="22"/>
      <c r="H29" s="23"/>
      <c r="I29" s="23"/>
      <c r="J29" s="23"/>
      <c r="K29" s="24"/>
    </row>
  </sheetData>
  <mergeCells count="2">
    <mergeCell ref="A4:A5"/>
    <mergeCell ref="B4:D4"/>
  </mergeCells>
  <hyperlinks>
    <hyperlink ref="F1" location="Obsah!A1" display="Naspäť na obsah"/>
  </hyperlink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4"/>
  <sheetViews>
    <sheetView showGridLines="0" zoomScaleNormal="100" workbookViewId="0">
      <selection activeCell="A3" sqref="A3"/>
    </sheetView>
  </sheetViews>
  <sheetFormatPr defaultRowHeight="13.5" customHeight="1" x14ac:dyDescent="0.2"/>
  <cols>
    <col min="1" max="1" width="23.25" style="2" customWidth="1"/>
    <col min="2" max="4" width="14.125" style="2" customWidth="1"/>
    <col min="5" max="6" width="9" style="2"/>
    <col min="7" max="9" width="13.125" style="2" customWidth="1"/>
    <col min="10" max="11" width="9" style="2"/>
    <col min="12" max="12" width="21.25" style="2" customWidth="1"/>
    <col min="13" max="13" width="9.875" style="2" customWidth="1"/>
    <col min="14" max="14" width="9.5" style="2" customWidth="1"/>
    <col min="15" max="15" width="9.375" style="2" customWidth="1"/>
    <col min="16" max="16384" width="9" style="2"/>
  </cols>
  <sheetData>
    <row r="1" spans="1:8" ht="13.5" customHeight="1" x14ac:dyDescent="0.2">
      <c r="A1" s="16" t="s">
        <v>139</v>
      </c>
      <c r="B1" s="3"/>
      <c r="F1" s="128" t="s">
        <v>138</v>
      </c>
    </row>
    <row r="2" spans="1:8" ht="13.5" customHeight="1" x14ac:dyDescent="0.2">
      <c r="A2" s="33" t="s">
        <v>146</v>
      </c>
      <c r="B2" s="3"/>
    </row>
    <row r="3" spans="1:8" ht="13.5" customHeight="1" x14ac:dyDescent="0.2">
      <c r="B3" s="3"/>
    </row>
    <row r="4" spans="1:8" ht="13.5" customHeight="1" x14ac:dyDescent="0.2">
      <c r="A4" s="180" t="s">
        <v>29</v>
      </c>
      <c r="B4" s="180" t="s">
        <v>84</v>
      </c>
      <c r="C4" s="180"/>
      <c r="D4" s="180"/>
    </row>
    <row r="5" spans="1:8" ht="36" customHeight="1" x14ac:dyDescent="0.2">
      <c r="A5" s="180"/>
      <c r="B5" s="35" t="s">
        <v>78</v>
      </c>
      <c r="C5" s="35" t="s">
        <v>79</v>
      </c>
      <c r="D5" s="35" t="s">
        <v>76</v>
      </c>
    </row>
    <row r="6" spans="1:8" ht="13.5" customHeight="1" x14ac:dyDescent="0.2">
      <c r="A6" s="71" t="s">
        <v>14</v>
      </c>
      <c r="B6" s="72">
        <v>1542116283.9700034</v>
      </c>
      <c r="C6" s="72">
        <v>2964386816.5599995</v>
      </c>
      <c r="D6" s="72">
        <v>1719682456.0000014</v>
      </c>
    </row>
    <row r="7" spans="1:8" ht="13.5" customHeight="1" x14ac:dyDescent="0.2">
      <c r="A7" s="65" t="s">
        <v>62</v>
      </c>
      <c r="B7" s="73">
        <v>1195239195.4000018</v>
      </c>
      <c r="C7" s="73">
        <v>2373746089.3099995</v>
      </c>
      <c r="D7" s="73">
        <v>887334501.42000043</v>
      </c>
    </row>
    <row r="8" spans="1:8" ht="13.5" customHeight="1" x14ac:dyDescent="0.2">
      <c r="A8" s="65" t="s">
        <v>64</v>
      </c>
      <c r="B8" s="73">
        <v>232769377.29000011</v>
      </c>
      <c r="C8" s="73">
        <v>91632953.450000003</v>
      </c>
      <c r="D8" s="73">
        <v>740068491.04000127</v>
      </c>
    </row>
    <row r="9" spans="1:8" ht="13.5" customHeight="1" x14ac:dyDescent="0.2">
      <c r="A9" s="65" t="s">
        <v>65</v>
      </c>
      <c r="B9" s="73">
        <v>4494532.91</v>
      </c>
      <c r="C9" s="73">
        <v>87509535.769999996</v>
      </c>
      <c r="D9" s="73">
        <v>87882.22</v>
      </c>
      <c r="G9" s="32"/>
      <c r="H9" s="32"/>
    </row>
    <row r="10" spans="1:8" ht="13.5" customHeight="1" x14ac:dyDescent="0.2">
      <c r="A10" s="74" t="s">
        <v>67</v>
      </c>
      <c r="B10" s="75">
        <v>109613178.37000014</v>
      </c>
      <c r="C10" s="75">
        <v>411498238.02999997</v>
      </c>
      <c r="D10" s="75">
        <v>92191581.319999918</v>
      </c>
      <c r="G10" s="32"/>
      <c r="H10" s="32"/>
    </row>
    <row r="11" spans="1:8" ht="13.5" customHeight="1" x14ac:dyDescent="0.2">
      <c r="A11" s="45" t="s">
        <v>85</v>
      </c>
      <c r="B11" s="47"/>
      <c r="C11" s="47"/>
      <c r="D11" s="47"/>
      <c r="G11" s="32"/>
      <c r="H11" s="32"/>
    </row>
    <row r="12" spans="1:8" ht="13.5" customHeight="1" x14ac:dyDescent="0.2">
      <c r="A12" s="144" t="s">
        <v>62</v>
      </c>
      <c r="B12" s="86">
        <v>0.77506424633750326</v>
      </c>
      <c r="C12" s="86">
        <v>0.80075450209449905</v>
      </c>
      <c r="D12" s="86">
        <v>0.51598741286455252</v>
      </c>
      <c r="G12" s="32"/>
      <c r="H12" s="32"/>
    </row>
    <row r="13" spans="1:8" ht="13.5" customHeight="1" x14ac:dyDescent="0.2">
      <c r="A13" s="145" t="s">
        <v>64</v>
      </c>
      <c r="B13" s="87">
        <v>0.1509415208889188</v>
      </c>
      <c r="C13" s="87">
        <v>3.0911267361637636E-2</v>
      </c>
      <c r="D13" s="87">
        <v>0.43035182946589334</v>
      </c>
      <c r="G13" s="31"/>
      <c r="H13" s="31"/>
    </row>
    <row r="14" spans="1:8" ht="13.5" customHeight="1" x14ac:dyDescent="0.2">
      <c r="A14" s="145" t="s">
        <v>77</v>
      </c>
      <c r="B14" s="87">
        <v>2.9145226963230913E-3</v>
      </c>
      <c r="C14" s="87">
        <v>2.9520282333312286E-2</v>
      </c>
      <c r="D14" s="87">
        <v>5.110374865625769E-5</v>
      </c>
      <c r="G14" s="31"/>
      <c r="H14" s="31"/>
    </row>
    <row r="15" spans="1:8" ht="13.5" customHeight="1" x14ac:dyDescent="0.2">
      <c r="A15" s="146" t="s">
        <v>33</v>
      </c>
      <c r="B15" s="88">
        <v>7.1079710077253999E-2</v>
      </c>
      <c r="C15" s="88">
        <v>0.13881394821055101</v>
      </c>
      <c r="D15" s="88">
        <v>5.3609653920897962E-2</v>
      </c>
    </row>
    <row r="17" spans="1:5" ht="13.5" customHeight="1" x14ac:dyDescent="0.2">
      <c r="A17" s="31"/>
      <c r="B17" s="104"/>
      <c r="C17" s="104"/>
      <c r="D17" s="104"/>
      <c r="E17" s="31"/>
    </row>
    <row r="18" spans="1:5" ht="13.5" customHeight="1" x14ac:dyDescent="0.2">
      <c r="A18" s="31"/>
      <c r="B18" s="105"/>
      <c r="C18" s="105"/>
      <c r="D18" s="106"/>
      <c r="E18" s="31"/>
    </row>
    <row r="19" spans="1:5" ht="13.5" customHeight="1" x14ac:dyDescent="0.2">
      <c r="A19" s="31"/>
      <c r="C19" s="105"/>
      <c r="D19" s="106"/>
      <c r="E19" s="31"/>
    </row>
    <row r="20" spans="1:5" ht="13.5" customHeight="1" x14ac:dyDescent="0.2">
      <c r="A20" s="31"/>
      <c r="C20" s="105"/>
      <c r="D20" s="106"/>
      <c r="E20" s="31"/>
    </row>
    <row r="21" spans="1:5" ht="13.5" customHeight="1" x14ac:dyDescent="0.2">
      <c r="A21" s="31"/>
      <c r="C21" s="105"/>
      <c r="D21" s="106"/>
      <c r="E21" s="31"/>
    </row>
    <row r="22" spans="1:5" ht="13.5" customHeight="1" x14ac:dyDescent="0.2">
      <c r="A22" s="31"/>
      <c r="C22" s="31"/>
      <c r="D22" s="106"/>
      <c r="E22" s="31"/>
    </row>
    <row r="23" spans="1:5" ht="13.5" customHeight="1" x14ac:dyDescent="0.2">
      <c r="A23" s="31"/>
      <c r="C23" s="106"/>
      <c r="D23" s="106"/>
      <c r="E23" s="31"/>
    </row>
    <row r="24" spans="1:5" ht="13.5" customHeight="1" x14ac:dyDescent="0.2">
      <c r="A24" s="31"/>
      <c r="C24" s="106"/>
      <c r="D24" s="106"/>
      <c r="E24" s="31"/>
    </row>
    <row r="25" spans="1:5" ht="13.5" customHeight="1" x14ac:dyDescent="0.2">
      <c r="A25" s="31"/>
      <c r="C25" s="106"/>
      <c r="D25" s="106"/>
      <c r="E25" s="31"/>
    </row>
    <row r="26" spans="1:5" ht="13.5" customHeight="1" x14ac:dyDescent="0.2">
      <c r="A26" s="31"/>
      <c r="C26" s="106"/>
      <c r="D26" s="106"/>
      <c r="E26" s="31"/>
    </row>
    <row r="27" spans="1:5" ht="13.5" customHeight="1" x14ac:dyDescent="0.2">
      <c r="A27" s="31"/>
      <c r="C27" s="31"/>
      <c r="D27" s="106"/>
      <c r="E27" s="31"/>
    </row>
    <row r="28" spans="1:5" ht="13.5" customHeight="1" x14ac:dyDescent="0.2">
      <c r="A28" s="31"/>
      <c r="C28" s="107"/>
      <c r="D28" s="106"/>
      <c r="E28" s="31"/>
    </row>
    <row r="29" spans="1:5" ht="13.5" customHeight="1" x14ac:dyDescent="0.2">
      <c r="A29" s="31"/>
      <c r="C29" s="107"/>
      <c r="D29" s="106"/>
      <c r="E29" s="31"/>
    </row>
    <row r="30" spans="1:5" ht="13.5" customHeight="1" x14ac:dyDescent="0.2">
      <c r="A30" s="31"/>
      <c r="B30" s="107"/>
      <c r="C30" s="107"/>
      <c r="D30" s="106"/>
      <c r="E30" s="31"/>
    </row>
    <row r="31" spans="1:5" ht="13.5" customHeight="1" x14ac:dyDescent="0.2">
      <c r="A31" s="31"/>
      <c r="B31" s="107"/>
      <c r="C31" s="107"/>
      <c r="D31" s="107"/>
      <c r="E31" s="31"/>
    </row>
    <row r="32" spans="1:5" ht="13.5" customHeight="1" x14ac:dyDescent="0.2">
      <c r="B32" s="103"/>
      <c r="C32" s="103"/>
      <c r="D32" s="103"/>
    </row>
    <row r="33" spans="2:4" ht="13.5" customHeight="1" x14ac:dyDescent="0.2">
      <c r="B33" s="103"/>
      <c r="C33" s="103"/>
      <c r="D33" s="103"/>
    </row>
    <row r="34" spans="2:4" ht="13.5" customHeight="1" x14ac:dyDescent="0.2">
      <c r="B34" s="103"/>
      <c r="C34" s="103"/>
      <c r="D34" s="103"/>
    </row>
    <row r="35" spans="2:4" ht="13.5" customHeight="1" x14ac:dyDescent="0.2">
      <c r="B35" s="103"/>
      <c r="C35" s="103"/>
      <c r="D35" s="103"/>
    </row>
    <row r="36" spans="2:4" ht="13.5" customHeight="1" x14ac:dyDescent="0.2">
      <c r="B36" s="103"/>
      <c r="C36" s="103"/>
      <c r="D36" s="103"/>
    </row>
    <row r="37" spans="2:4" ht="13.5" customHeight="1" x14ac:dyDescent="0.2">
      <c r="B37" s="103"/>
      <c r="C37" s="103"/>
      <c r="D37" s="103"/>
    </row>
    <row r="76" spans="7:9" ht="13.5" customHeight="1" x14ac:dyDescent="0.2">
      <c r="G76" s="19"/>
      <c r="H76" s="20"/>
      <c r="I76" s="19"/>
    </row>
    <row r="77" spans="7:9" ht="13.5" customHeight="1" x14ac:dyDescent="0.2">
      <c r="G77" s="15"/>
      <c r="H77" s="21"/>
      <c r="I77" s="15"/>
    </row>
    <row r="78" spans="7:9" ht="13.5" customHeight="1" x14ac:dyDescent="0.2">
      <c r="G78" s="15"/>
      <c r="H78" s="21"/>
      <c r="I78" s="15"/>
    </row>
    <row r="79" spans="7:9" ht="13.5" customHeight="1" x14ac:dyDescent="0.2">
      <c r="G79" s="15"/>
      <c r="H79" s="21"/>
      <c r="I79" s="15"/>
    </row>
    <row r="80" spans="7:9" ht="13.5" customHeight="1" x14ac:dyDescent="0.2">
      <c r="G80" s="15"/>
      <c r="H80" s="21"/>
      <c r="I80" s="15"/>
    </row>
    <row r="81" spans="7:9" ht="13.5" customHeight="1" x14ac:dyDescent="0.2">
      <c r="G81" s="15"/>
      <c r="H81" s="21"/>
      <c r="I81" s="15"/>
    </row>
    <row r="82" spans="7:9" ht="13.5" customHeight="1" x14ac:dyDescent="0.2">
      <c r="G82" s="15"/>
      <c r="H82" s="21"/>
      <c r="I82" s="15"/>
    </row>
    <row r="83" spans="7:9" ht="13.5" customHeight="1" x14ac:dyDescent="0.2">
      <c r="G83" s="15"/>
      <c r="H83" s="21"/>
      <c r="I83" s="15"/>
    </row>
    <row r="84" spans="7:9" ht="13.5" customHeight="1" x14ac:dyDescent="0.2">
      <c r="G84" s="15"/>
      <c r="H84" s="21"/>
      <c r="I84" s="15"/>
    </row>
    <row r="85" spans="7:9" ht="13.5" customHeight="1" x14ac:dyDescent="0.2">
      <c r="G85" s="15"/>
      <c r="H85" s="21"/>
      <c r="I85" s="15"/>
    </row>
    <row r="114" ht="38.25" customHeight="1" x14ac:dyDescent="0.2"/>
  </sheetData>
  <mergeCells count="2">
    <mergeCell ref="A4:A5"/>
    <mergeCell ref="B4:D4"/>
  </mergeCells>
  <hyperlinks>
    <hyperlink ref="F1" location="Obsah!A1" display="Naspäť na obsah"/>
  </hyperlink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3"/>
  <sheetViews>
    <sheetView showGridLines="0" zoomScaleNormal="100" workbookViewId="0">
      <selection activeCell="A3" sqref="A3"/>
    </sheetView>
  </sheetViews>
  <sheetFormatPr defaultRowHeight="13.5" customHeight="1" x14ac:dyDescent="0.2"/>
  <cols>
    <col min="1" max="1" width="21" style="2" customWidth="1"/>
    <col min="2" max="5" width="14.375" style="2" customWidth="1"/>
    <col min="6" max="8" width="13.5" style="2" customWidth="1"/>
    <col min="9" max="9" width="13.375" style="2" customWidth="1"/>
    <col min="10" max="13" width="9" style="2"/>
    <col min="14" max="14" width="20.5" style="2" customWidth="1"/>
    <col min="15" max="17" width="10" style="2" customWidth="1"/>
    <col min="18" max="18" width="12" style="2" customWidth="1"/>
    <col min="19" max="16384" width="9" style="2"/>
  </cols>
  <sheetData>
    <row r="1" spans="1:8" ht="13.5" customHeight="1" x14ac:dyDescent="0.2">
      <c r="A1" s="16" t="s">
        <v>139</v>
      </c>
      <c r="C1" s="3"/>
      <c r="F1" s="128" t="s">
        <v>138</v>
      </c>
    </row>
    <row r="2" spans="1:8" ht="13.5" customHeight="1" x14ac:dyDescent="0.2">
      <c r="A2" s="33" t="s">
        <v>145</v>
      </c>
      <c r="C2" s="3"/>
    </row>
    <row r="3" spans="1:8" ht="13.5" customHeight="1" x14ac:dyDescent="0.2">
      <c r="C3" s="3"/>
    </row>
    <row r="4" spans="1:8" ht="13.5" customHeight="1" x14ac:dyDescent="0.2">
      <c r="A4" s="180" t="s">
        <v>29</v>
      </c>
      <c r="B4" s="180" t="s">
        <v>48</v>
      </c>
      <c r="C4" s="180"/>
      <c r="D4" s="180"/>
      <c r="E4" s="180"/>
    </row>
    <row r="5" spans="1:8" ht="53.25" customHeight="1" x14ac:dyDescent="0.2">
      <c r="A5" s="181"/>
      <c r="B5" s="34" t="s">
        <v>80</v>
      </c>
      <c r="C5" s="34" t="s">
        <v>81</v>
      </c>
      <c r="D5" s="34" t="s">
        <v>26</v>
      </c>
      <c r="E5" s="34" t="s">
        <v>82</v>
      </c>
    </row>
    <row r="6" spans="1:8" ht="13.5" customHeight="1" x14ac:dyDescent="0.2">
      <c r="A6" s="76" t="s">
        <v>12</v>
      </c>
      <c r="B6" s="129">
        <v>1446063815.1600001</v>
      </c>
      <c r="C6" s="129">
        <v>1461917960.1700001</v>
      </c>
      <c r="D6" s="129">
        <v>22545806.490000002</v>
      </c>
      <c r="E6" s="129">
        <v>86377903.320000008</v>
      </c>
    </row>
    <row r="7" spans="1:8" ht="13.5" customHeight="1" x14ac:dyDescent="0.2">
      <c r="A7" s="77" t="s">
        <v>60</v>
      </c>
      <c r="B7" s="80">
        <v>782372012.99999964</v>
      </c>
      <c r="C7" s="80">
        <v>761792116.67999995</v>
      </c>
      <c r="D7" s="80">
        <v>15717005.130000001</v>
      </c>
      <c r="E7" s="80">
        <v>39927916.379999995</v>
      </c>
    </row>
    <row r="8" spans="1:8" ht="13.5" customHeight="1" x14ac:dyDescent="0.2">
      <c r="A8" s="78" t="s">
        <v>61</v>
      </c>
      <c r="B8" s="80">
        <v>127990535.78</v>
      </c>
      <c r="C8" s="80">
        <v>189732542.59</v>
      </c>
      <c r="D8" s="80">
        <v>634508.68000000005</v>
      </c>
      <c r="E8" s="80">
        <v>1265124.4100000001</v>
      </c>
    </row>
    <row r="9" spans="1:8" ht="13.5" customHeight="1" x14ac:dyDescent="0.2">
      <c r="A9" s="78" t="s">
        <v>18</v>
      </c>
      <c r="B9" s="80">
        <v>178443673.09999999</v>
      </c>
      <c r="C9" s="80">
        <v>175620326.13999999</v>
      </c>
      <c r="D9" s="80">
        <v>169243.16999999998</v>
      </c>
      <c r="E9" s="80">
        <v>557143.55000000005</v>
      </c>
    </row>
    <row r="10" spans="1:8" ht="13.5" customHeight="1" x14ac:dyDescent="0.2">
      <c r="A10" s="79" t="s">
        <v>63</v>
      </c>
      <c r="B10" s="80">
        <v>10023067.899999999</v>
      </c>
      <c r="C10" s="80">
        <v>1953012.52</v>
      </c>
      <c r="D10" s="80" t="s">
        <v>56</v>
      </c>
      <c r="E10" s="80">
        <v>171801.22</v>
      </c>
    </row>
    <row r="11" spans="1:8" ht="13.5" customHeight="1" x14ac:dyDescent="0.2">
      <c r="A11" s="79" t="s">
        <v>28</v>
      </c>
      <c r="B11" s="80">
        <v>12285551.890000002</v>
      </c>
      <c r="C11" s="80">
        <v>17780963.079999998</v>
      </c>
      <c r="D11" s="80">
        <v>914.03</v>
      </c>
      <c r="E11" s="80" t="s">
        <v>56</v>
      </c>
    </row>
    <row r="12" spans="1:8" ht="13.5" customHeight="1" x14ac:dyDescent="0.2">
      <c r="A12" s="79" t="s">
        <v>66</v>
      </c>
      <c r="B12" s="80">
        <v>47989795.74000001</v>
      </c>
      <c r="C12" s="80">
        <v>53779311.819999993</v>
      </c>
      <c r="D12" s="80">
        <v>900451.46000000008</v>
      </c>
      <c r="E12" s="80">
        <v>6509398.0899999999</v>
      </c>
      <c r="F12" s="23"/>
      <c r="G12" s="23"/>
      <c r="H12" s="23"/>
    </row>
    <row r="13" spans="1:8" ht="13.5" customHeight="1" x14ac:dyDescent="0.2">
      <c r="A13" s="79" t="s">
        <v>68</v>
      </c>
      <c r="B13" s="80">
        <v>10170865.940000001</v>
      </c>
      <c r="C13" s="80">
        <v>9880348.4199999981</v>
      </c>
      <c r="D13" s="80">
        <v>912466.97000000009</v>
      </c>
      <c r="E13" s="80">
        <v>7306023.5199999996</v>
      </c>
      <c r="F13" s="33"/>
      <c r="G13" s="23"/>
      <c r="H13" s="23"/>
    </row>
    <row r="14" spans="1:8" ht="13.5" customHeight="1" x14ac:dyDescent="0.2">
      <c r="A14" s="79" t="s">
        <v>137</v>
      </c>
      <c r="B14" s="80">
        <v>26090310.390000008</v>
      </c>
      <c r="C14" s="80">
        <v>24643266.669999998</v>
      </c>
      <c r="D14" s="80">
        <v>644645.97</v>
      </c>
      <c r="E14" s="80">
        <v>5585617.7999999989</v>
      </c>
      <c r="F14" s="25"/>
      <c r="G14" s="23"/>
      <c r="H14" s="23"/>
    </row>
    <row r="15" spans="1:8" ht="13.5" customHeight="1" x14ac:dyDescent="0.2">
      <c r="A15" s="79" t="s">
        <v>69</v>
      </c>
      <c r="B15" s="80">
        <v>20620216.590000004</v>
      </c>
      <c r="C15" s="80">
        <v>19043412.5</v>
      </c>
      <c r="D15" s="80">
        <v>313707.42000000004</v>
      </c>
      <c r="E15" s="80">
        <v>2012358.6700000004</v>
      </c>
      <c r="F15" s="23"/>
      <c r="G15" s="23"/>
      <c r="H15" s="23"/>
    </row>
    <row r="16" spans="1:8" ht="13.5" customHeight="1" x14ac:dyDescent="0.2">
      <c r="A16" s="81" t="s">
        <v>70</v>
      </c>
      <c r="B16" s="67">
        <f>B6-SUM(B7:B15)</f>
        <v>230077784.83000016</v>
      </c>
      <c r="C16" s="67">
        <f>C6-SUM(C7:C15)</f>
        <v>207692659.75000024</v>
      </c>
      <c r="D16" s="67">
        <f>D6-SUM(D7:D15)</f>
        <v>3252863.6600000039</v>
      </c>
      <c r="E16" s="67">
        <f>E6-SUM(E7:E15)</f>
        <v>23042519.680000022</v>
      </c>
      <c r="F16" s="23"/>
      <c r="G16" s="23"/>
      <c r="H16" s="23"/>
    </row>
    <row r="17" spans="1:8" ht="13.5" customHeight="1" x14ac:dyDescent="0.2">
      <c r="A17" s="45" t="s">
        <v>85</v>
      </c>
      <c r="B17" s="47"/>
      <c r="C17" s="47"/>
      <c r="D17" s="47"/>
      <c r="E17" s="47"/>
      <c r="F17" s="23"/>
      <c r="G17" s="23"/>
      <c r="H17" s="23"/>
    </row>
    <row r="18" spans="1:8" ht="13.5" customHeight="1" x14ac:dyDescent="0.2">
      <c r="A18" s="82" t="s">
        <v>60</v>
      </c>
      <c r="B18" s="68">
        <v>0.5410356063113535</v>
      </c>
      <c r="C18" s="68">
        <v>0.52109088022382222</v>
      </c>
      <c r="D18" s="68">
        <v>0.69711434527618887</v>
      </c>
      <c r="E18" s="68">
        <v>0.46224688080331133</v>
      </c>
      <c r="F18" s="23"/>
      <c r="G18" s="23"/>
      <c r="H18" s="23"/>
    </row>
    <row r="19" spans="1:8" ht="13.5" customHeight="1" x14ac:dyDescent="0.2">
      <c r="A19" s="78" t="s">
        <v>61</v>
      </c>
      <c r="B19" s="69">
        <v>8.8509604097823616E-2</v>
      </c>
      <c r="C19" s="69">
        <v>0.12978330368684768</v>
      </c>
      <c r="D19" s="69">
        <v>2.8143090835159562E-2</v>
      </c>
      <c r="E19" s="69">
        <v>1.4646389428013266E-2</v>
      </c>
      <c r="F19" s="23"/>
      <c r="G19" s="23"/>
      <c r="H19" s="23"/>
    </row>
    <row r="20" spans="1:8" ht="13.5" customHeight="1" x14ac:dyDescent="0.2">
      <c r="A20" s="78" t="s">
        <v>18</v>
      </c>
      <c r="B20" s="69">
        <v>0.12339958391134769</v>
      </c>
      <c r="C20" s="69">
        <v>0.12013008316798972</v>
      </c>
      <c r="D20" s="69">
        <v>7.5066363261419074E-3</v>
      </c>
      <c r="E20" s="69">
        <v>6.4500703141169968E-3</v>
      </c>
      <c r="F20" s="23"/>
      <c r="G20" s="23"/>
      <c r="H20" s="23"/>
    </row>
    <row r="21" spans="1:8" ht="13.5" customHeight="1" x14ac:dyDescent="0.2">
      <c r="A21" s="79" t="s">
        <v>63</v>
      </c>
      <c r="B21" s="69">
        <v>6.931276334364949E-3</v>
      </c>
      <c r="C21" s="69">
        <v>1.3359248420293658E-3</v>
      </c>
      <c r="D21" s="80" t="s">
        <v>56</v>
      </c>
      <c r="E21" s="69">
        <v>1.988948717168283E-3</v>
      </c>
      <c r="F21" s="23"/>
      <c r="G21" s="23"/>
    </row>
    <row r="22" spans="1:8" ht="13.5" customHeight="1" x14ac:dyDescent="0.2">
      <c r="A22" s="79" t="s">
        <v>28</v>
      </c>
      <c r="B22" s="69">
        <v>8.495857348204695E-3</v>
      </c>
      <c r="C22" s="69">
        <v>1.2162763961072295E-2</v>
      </c>
      <c r="D22" s="69">
        <v>4.0541020362496686E-5</v>
      </c>
      <c r="E22" s="80" t="s">
        <v>56</v>
      </c>
      <c r="F22" s="23"/>
      <c r="G22" s="2" t="s">
        <v>71</v>
      </c>
      <c r="H22" s="23"/>
    </row>
    <row r="23" spans="1:8" ht="13.5" customHeight="1" x14ac:dyDescent="0.2">
      <c r="A23" s="79" t="s">
        <v>66</v>
      </c>
      <c r="B23" s="69">
        <v>3.3186499265725811E-2</v>
      </c>
      <c r="C23" s="69">
        <v>3.6786819291655892E-2</v>
      </c>
      <c r="D23" s="69">
        <v>3.9938755812500545E-2</v>
      </c>
      <c r="E23" s="69">
        <v>7.535952876611221E-2</v>
      </c>
      <c r="F23" s="23"/>
      <c r="G23" s="23"/>
      <c r="H23" s="23"/>
    </row>
    <row r="24" spans="1:8" ht="13.5" customHeight="1" x14ac:dyDescent="0.2">
      <c r="A24" s="79" t="s">
        <v>68</v>
      </c>
      <c r="B24" s="69">
        <v>7.0334834696590782E-3</v>
      </c>
      <c r="C24" s="69">
        <v>6.758483505361036E-3</v>
      </c>
      <c r="D24" s="69">
        <v>4.0471693501171357E-2</v>
      </c>
      <c r="E24" s="69">
        <v>8.458208915923475E-2</v>
      </c>
      <c r="F24" s="23"/>
      <c r="G24" s="23"/>
      <c r="H24" s="23"/>
    </row>
    <row r="25" spans="1:8" ht="13.5" customHeight="1" x14ac:dyDescent="0.2">
      <c r="A25" s="79" t="s">
        <v>137</v>
      </c>
      <c r="B25" s="69">
        <v>1.8042295309846502E-2</v>
      </c>
      <c r="C25" s="69">
        <v>1.6856805471583605E-2</v>
      </c>
      <c r="D25" s="69">
        <v>2.8592721679125879E-2</v>
      </c>
      <c r="E25" s="69">
        <v>6.4664892123014753E-2</v>
      </c>
      <c r="F25" s="23"/>
      <c r="G25" s="23"/>
      <c r="H25" s="23"/>
    </row>
    <row r="26" spans="1:8" ht="13.5" customHeight="1" x14ac:dyDescent="0.2">
      <c r="A26" s="79" t="s">
        <v>69</v>
      </c>
      <c r="B26" s="69">
        <v>1.4259548142914063E-2</v>
      </c>
      <c r="C26" s="69">
        <v>1.302632091460558E-2</v>
      </c>
      <c r="D26" s="69">
        <v>1.3914224808908134E-2</v>
      </c>
      <c r="E26" s="69">
        <v>2.3297146523051308E-2</v>
      </c>
      <c r="F26" s="23"/>
      <c r="G26" s="23"/>
      <c r="H26" s="23"/>
    </row>
    <row r="27" spans="1:8" ht="13.5" customHeight="1" x14ac:dyDescent="0.2">
      <c r="A27" s="81" t="s">
        <v>70</v>
      </c>
      <c r="B27" s="70">
        <v>0.15910624580875993</v>
      </c>
      <c r="C27" s="70">
        <v>0.14206861493503273</v>
      </c>
      <c r="D27" s="70">
        <v>0.1442779907404414</v>
      </c>
      <c r="E27" s="70">
        <v>0.2667640541659772</v>
      </c>
      <c r="F27" s="23"/>
      <c r="G27" s="23"/>
      <c r="H27" s="23"/>
    </row>
    <row r="28" spans="1:8" ht="13.5" customHeight="1" x14ac:dyDescent="0.2">
      <c r="C28" s="3"/>
      <c r="D28" s="17"/>
      <c r="E28" s="17"/>
      <c r="F28" s="23"/>
      <c r="G28" s="23"/>
      <c r="H28" s="23"/>
    </row>
    <row r="29" spans="1:8" ht="13.5" customHeight="1" x14ac:dyDescent="0.2">
      <c r="A29" s="2" t="s">
        <v>71</v>
      </c>
      <c r="C29" s="3"/>
      <c r="D29" s="17"/>
      <c r="E29" s="17"/>
      <c r="F29" s="23"/>
      <c r="G29" s="23"/>
      <c r="H29" s="23"/>
    </row>
    <row r="30" spans="1:8" ht="13.5" customHeight="1" x14ac:dyDescent="0.2">
      <c r="E30" s="23"/>
      <c r="F30" s="23"/>
      <c r="G30" s="23"/>
      <c r="H30" s="23"/>
    </row>
    <row r="31" spans="1:8" ht="13.5" customHeight="1" x14ac:dyDescent="0.2">
      <c r="H31" s="23"/>
    </row>
    <row r="32" spans="1:8" ht="13.5" customHeight="1" x14ac:dyDescent="0.2">
      <c r="H32" s="23"/>
    </row>
    <row r="33" spans="5:8" ht="13.5" customHeight="1" x14ac:dyDescent="0.2">
      <c r="H33" s="23"/>
    </row>
    <row r="34" spans="5:8" ht="13.5" customHeight="1" x14ac:dyDescent="0.2">
      <c r="E34" s="23"/>
      <c r="F34" s="23"/>
      <c r="G34" s="23"/>
      <c r="H34" s="23"/>
    </row>
    <row r="35" spans="5:8" ht="13.5" customHeight="1" x14ac:dyDescent="0.2">
      <c r="E35" s="23"/>
      <c r="F35" s="23"/>
      <c r="G35" s="23"/>
      <c r="H35" s="23"/>
    </row>
    <row r="36" spans="5:8" ht="13.5" customHeight="1" x14ac:dyDescent="0.2">
      <c r="E36" s="23"/>
      <c r="F36" s="23"/>
      <c r="G36" s="23"/>
      <c r="H36" s="23"/>
    </row>
    <row r="37" spans="5:8" ht="13.5" customHeight="1" x14ac:dyDescent="0.2">
      <c r="E37" s="23"/>
      <c r="G37" s="23"/>
      <c r="H37" s="23"/>
    </row>
    <row r="38" spans="5:8" ht="13.5" customHeight="1" x14ac:dyDescent="0.2">
      <c r="E38" s="23"/>
      <c r="F38" s="23"/>
      <c r="G38" s="23"/>
      <c r="H38" s="23"/>
    </row>
    <row r="39" spans="5:8" ht="13.5" customHeight="1" x14ac:dyDescent="0.2">
      <c r="E39" s="23"/>
    </row>
    <row r="40" spans="5:8" ht="13.5" customHeight="1" x14ac:dyDescent="0.2">
      <c r="E40" s="23"/>
    </row>
    <row r="44" spans="5:8" ht="13.5" customHeight="1" x14ac:dyDescent="0.2">
      <c r="F44" s="26"/>
    </row>
    <row r="52" spans="5:8" ht="13.5" customHeight="1" x14ac:dyDescent="0.2">
      <c r="F52" s="19">
        <v>23950580.520000003</v>
      </c>
      <c r="G52" s="19">
        <v>1155266463.1299999</v>
      </c>
      <c r="H52" s="19">
        <v>1223571760.0100002</v>
      </c>
    </row>
    <row r="53" spans="5:8" ht="13.5" customHeight="1" x14ac:dyDescent="0.2">
      <c r="F53" s="15">
        <v>15919621.67</v>
      </c>
      <c r="G53" s="15">
        <v>568187256.04999995</v>
      </c>
      <c r="H53" s="15">
        <v>628636341.5800004</v>
      </c>
    </row>
    <row r="54" spans="5:8" ht="13.5" customHeight="1" x14ac:dyDescent="0.2">
      <c r="E54" s="19">
        <v>124685270.09000002</v>
      </c>
      <c r="F54" s="15">
        <v>876424.28</v>
      </c>
      <c r="G54" s="15">
        <v>117844704.28</v>
      </c>
      <c r="H54" s="15">
        <v>109027134.55</v>
      </c>
    </row>
    <row r="55" spans="5:8" ht="13.5" customHeight="1" x14ac:dyDescent="0.2">
      <c r="E55" s="15">
        <v>50304542.560000002</v>
      </c>
      <c r="F55" s="15">
        <v>256026.88</v>
      </c>
      <c r="G55" s="15">
        <v>143434296.02999997</v>
      </c>
      <c r="H55" s="15">
        <v>165028018.41999999</v>
      </c>
    </row>
    <row r="56" spans="5:8" ht="13.5" customHeight="1" x14ac:dyDescent="0.2">
      <c r="E56" s="15">
        <v>1343170.13</v>
      </c>
      <c r="F56" s="15" t="s">
        <v>56</v>
      </c>
      <c r="G56" s="15">
        <v>142446.85</v>
      </c>
      <c r="H56" s="15">
        <v>1000796.62</v>
      </c>
    </row>
    <row r="57" spans="5:8" ht="13.5" customHeight="1" x14ac:dyDescent="0.2">
      <c r="E57" s="15">
        <v>604688.06000000006</v>
      </c>
      <c r="F57" s="15">
        <v>10144.040000000001</v>
      </c>
      <c r="G57" s="15">
        <v>17242801.710000001</v>
      </c>
      <c r="H57" s="15">
        <v>12278322.419999994</v>
      </c>
    </row>
    <row r="58" spans="5:8" ht="13.5" customHeight="1" x14ac:dyDescent="0.2">
      <c r="E58" s="15">
        <v>158956.14000000001</v>
      </c>
      <c r="F58" s="15">
        <v>815693.13000000012</v>
      </c>
      <c r="G58" s="15">
        <v>34938906.520000003</v>
      </c>
      <c r="H58" s="15">
        <v>41635092.290000014</v>
      </c>
    </row>
    <row r="59" spans="5:8" ht="13.5" customHeight="1" x14ac:dyDescent="0.2">
      <c r="E59" s="15" t="s">
        <v>56</v>
      </c>
      <c r="F59" s="15">
        <v>928662.6</v>
      </c>
      <c r="G59" s="15">
        <v>11158278.939999999</v>
      </c>
      <c r="H59" s="15">
        <v>11447313.239999995</v>
      </c>
    </row>
    <row r="60" spans="5:8" ht="13.5" customHeight="1" x14ac:dyDescent="0.2">
      <c r="E60" s="15">
        <v>6136997.8099999996</v>
      </c>
      <c r="F60" s="15">
        <v>399113.94000000006</v>
      </c>
      <c r="G60" s="15">
        <v>17316713.300000001</v>
      </c>
      <c r="H60" s="15">
        <v>19526815.809999995</v>
      </c>
    </row>
    <row r="61" spans="5:8" ht="13.5" customHeight="1" x14ac:dyDescent="0.2">
      <c r="E61" s="15">
        <v>8591788.0399999991</v>
      </c>
      <c r="F61" s="15">
        <v>4744893.9799999995</v>
      </c>
      <c r="G61" s="15">
        <v>245001059.45000002</v>
      </c>
      <c r="H61" s="15">
        <v>234991925.07999995</v>
      </c>
    </row>
    <row r="62" spans="5:8" ht="13.5" customHeight="1" x14ac:dyDescent="0.2">
      <c r="E62" s="15">
        <v>2580195.98</v>
      </c>
      <c r="F62" s="15"/>
      <c r="G62" s="15"/>
      <c r="H62" s="15"/>
    </row>
    <row r="63" spans="5:8" ht="13.5" customHeight="1" x14ac:dyDescent="0.2">
      <c r="E63" s="15">
        <v>54964931.36999999</v>
      </c>
      <c r="G63" s="27"/>
      <c r="H63" s="28"/>
    </row>
    <row r="64" spans="5:8" ht="13.5" customHeight="1" x14ac:dyDescent="0.2">
      <c r="E64" s="15"/>
      <c r="F64" s="19">
        <v>23950580.520000003</v>
      </c>
      <c r="G64" s="19">
        <v>1155266463.1299999</v>
      </c>
      <c r="H64" s="19">
        <v>1223571760.0100002</v>
      </c>
    </row>
    <row r="65" spans="5:8" ht="13.5" customHeight="1" x14ac:dyDescent="0.2">
      <c r="F65" s="15">
        <v>11860542.42</v>
      </c>
      <c r="G65" s="15">
        <v>421287801.71999991</v>
      </c>
      <c r="H65" s="15">
        <v>467430727.05000037</v>
      </c>
    </row>
    <row r="66" spans="5:8" ht="13.5" customHeight="1" x14ac:dyDescent="0.2">
      <c r="E66" s="19">
        <v>124685270.09000002</v>
      </c>
      <c r="F66" s="15">
        <v>4059079.25</v>
      </c>
      <c r="G66" s="15">
        <v>146899454.33000001</v>
      </c>
      <c r="H66" s="15">
        <v>161205614.53000003</v>
      </c>
    </row>
    <row r="67" spans="5:8" ht="13.5" customHeight="1" x14ac:dyDescent="0.2">
      <c r="E67" s="15">
        <v>37339549.660000004</v>
      </c>
      <c r="F67" s="15">
        <v>876424.28</v>
      </c>
      <c r="G67" s="15">
        <v>117844704.28</v>
      </c>
      <c r="H67" s="15">
        <v>109027134.55</v>
      </c>
    </row>
    <row r="68" spans="5:8" ht="13.5" customHeight="1" x14ac:dyDescent="0.2">
      <c r="E68" s="15">
        <v>12964992.9</v>
      </c>
      <c r="F68" s="15">
        <v>256026.88</v>
      </c>
      <c r="G68" s="15">
        <v>143434296.02999997</v>
      </c>
      <c r="H68" s="15">
        <v>165028018.41999999</v>
      </c>
    </row>
    <row r="69" spans="5:8" ht="13.5" customHeight="1" x14ac:dyDescent="0.2">
      <c r="E69" s="15">
        <v>1343170.13</v>
      </c>
      <c r="F69" s="15" t="s">
        <v>56</v>
      </c>
      <c r="G69" s="15">
        <v>142446.85</v>
      </c>
      <c r="H69" s="15">
        <v>1000796.62</v>
      </c>
    </row>
    <row r="70" spans="5:8" ht="13.5" customHeight="1" x14ac:dyDescent="0.2">
      <c r="E70" s="15">
        <v>604688.06000000006</v>
      </c>
      <c r="F70" s="15">
        <v>10144.040000000001</v>
      </c>
      <c r="G70" s="15">
        <v>17242801.710000001</v>
      </c>
      <c r="H70" s="15">
        <v>12278322.419999994</v>
      </c>
    </row>
    <row r="71" spans="5:8" ht="13.5" customHeight="1" x14ac:dyDescent="0.2">
      <c r="E71" s="15">
        <v>158956.14000000001</v>
      </c>
      <c r="F71" s="15">
        <v>61681.19</v>
      </c>
      <c r="G71" s="15">
        <v>14928126.400000004</v>
      </c>
      <c r="H71" s="15">
        <v>20283199.140000008</v>
      </c>
    </row>
    <row r="72" spans="5:8" ht="13.5" customHeight="1" x14ac:dyDescent="0.2">
      <c r="E72" s="15" t="s">
        <v>56</v>
      </c>
      <c r="F72" s="15">
        <v>754011.94000000006</v>
      </c>
      <c r="G72" s="15">
        <v>20010780.120000001</v>
      </c>
      <c r="H72" s="15">
        <v>21351893.150000006</v>
      </c>
    </row>
    <row r="73" spans="5:8" ht="13.5" customHeight="1" x14ac:dyDescent="0.2">
      <c r="E73" s="15">
        <v>212734.78000000003</v>
      </c>
      <c r="F73" s="15">
        <v>928662.6</v>
      </c>
      <c r="G73" s="15">
        <v>11158278.939999999</v>
      </c>
      <c r="H73" s="15">
        <v>11447313.239999995</v>
      </c>
    </row>
    <row r="74" spans="5:8" ht="13.5" customHeight="1" x14ac:dyDescent="0.2">
      <c r="E74" s="15">
        <v>5924263.0299999993</v>
      </c>
      <c r="F74" s="15">
        <v>945065.07</v>
      </c>
      <c r="G74" s="15">
        <v>20977238.560000002</v>
      </c>
      <c r="H74" s="15">
        <v>25702717.739999991</v>
      </c>
    </row>
    <row r="75" spans="5:8" ht="13.5" customHeight="1" x14ac:dyDescent="0.2">
      <c r="E75" s="15">
        <v>8591788.0399999991</v>
      </c>
      <c r="F75" s="15">
        <v>44001.78</v>
      </c>
      <c r="G75" s="15">
        <v>10602369.960000001</v>
      </c>
      <c r="H75" s="15">
        <v>10016385.310000001</v>
      </c>
    </row>
    <row r="76" spans="5:8" ht="13.5" customHeight="1" x14ac:dyDescent="0.2">
      <c r="E76" s="15">
        <v>7375883.46</v>
      </c>
      <c r="F76" s="15">
        <v>355112.16000000003</v>
      </c>
      <c r="G76" s="15">
        <v>6714343.3399999989</v>
      </c>
      <c r="H76" s="15">
        <v>9510430.4999999944</v>
      </c>
    </row>
    <row r="77" spans="5:8" ht="13.5" customHeight="1" x14ac:dyDescent="0.2">
      <c r="E77" s="15">
        <v>187284.33</v>
      </c>
      <c r="F77" s="15">
        <v>1624529.55</v>
      </c>
      <c r="G77" s="15">
        <v>15855882.620000001</v>
      </c>
      <c r="H77" s="15">
        <v>28627804.700000003</v>
      </c>
    </row>
    <row r="78" spans="5:8" ht="13.5" customHeight="1" x14ac:dyDescent="0.2">
      <c r="E78" s="15">
        <v>2392911.65</v>
      </c>
      <c r="F78" s="15">
        <v>202759.80000000002</v>
      </c>
      <c r="G78" s="15">
        <v>283477.64</v>
      </c>
      <c r="H78" s="15">
        <v>679428.03000000014</v>
      </c>
    </row>
    <row r="79" spans="5:8" ht="13.5" customHeight="1" x14ac:dyDescent="0.2">
      <c r="E79" s="15">
        <v>27980148.859999999</v>
      </c>
      <c r="F79" s="15">
        <v>62521.3</v>
      </c>
      <c r="G79" s="15">
        <v>414676.27</v>
      </c>
      <c r="H79" s="15">
        <v>756141.47</v>
      </c>
    </row>
    <row r="80" spans="5:8" ht="13.5" customHeight="1" x14ac:dyDescent="0.2">
      <c r="E80" s="15">
        <v>5440.05</v>
      </c>
      <c r="F80" s="15">
        <v>1910018.26</v>
      </c>
      <c r="G80" s="15">
        <v>207469784.36000001</v>
      </c>
      <c r="H80" s="15">
        <v>179225833.13999996</v>
      </c>
    </row>
    <row r="81" spans="5:5" ht="13.5" customHeight="1" x14ac:dyDescent="0.2">
      <c r="E81" s="15">
        <v>157425.99999999997</v>
      </c>
    </row>
    <row r="82" spans="5:5" ht="13.5" customHeight="1" x14ac:dyDescent="0.2">
      <c r="E82" s="15">
        <v>19446032.999999996</v>
      </c>
    </row>
    <row r="90" spans="5:5" ht="38.25" customHeight="1" x14ac:dyDescent="0.2"/>
    <row r="92" spans="5:5" ht="13.5" customHeight="1" x14ac:dyDescent="0.2">
      <c r="E92" s="18" t="s">
        <v>72</v>
      </c>
    </row>
    <row r="94" spans="5:5" ht="13.5" customHeight="1" x14ac:dyDescent="0.2">
      <c r="E94" s="29" t="e">
        <f>#REF!/#REF!*100</f>
        <v>#REF!</v>
      </c>
    </row>
    <row r="95" spans="5:5" ht="13.5" customHeight="1" x14ac:dyDescent="0.2">
      <c r="E95" s="29" t="e">
        <f>#REF!/#REF!*100</f>
        <v>#REF!</v>
      </c>
    </row>
    <row r="96" spans="5:5" ht="13.5" customHeight="1" x14ac:dyDescent="0.2">
      <c r="E96" s="29" t="e">
        <f>#REF!/#REF!*100</f>
        <v>#REF!</v>
      </c>
    </row>
    <row r="97" spans="5:5" ht="13.5" customHeight="1" x14ac:dyDescent="0.2">
      <c r="E97" s="29" t="e">
        <f>#REF!/#REF!*100</f>
        <v>#REF!</v>
      </c>
    </row>
    <row r="98" spans="5:5" ht="13.5" customHeight="1" x14ac:dyDescent="0.2">
      <c r="E98" s="29" t="e">
        <f>#REF!/#REF!*100</f>
        <v>#REF!</v>
      </c>
    </row>
    <row r="99" spans="5:5" ht="13.5" customHeight="1" x14ac:dyDescent="0.2">
      <c r="E99" s="29" t="e">
        <f>#REF!/#REF!*100</f>
        <v>#REF!</v>
      </c>
    </row>
    <row r="100" spans="5:5" ht="13.5" customHeight="1" x14ac:dyDescent="0.2">
      <c r="E100" s="29" t="e">
        <f>#REF!/#REF!*100</f>
        <v>#REF!</v>
      </c>
    </row>
    <row r="101" spans="5:5" ht="13.5" customHeight="1" x14ac:dyDescent="0.2">
      <c r="E101" s="29" t="e">
        <f>#REF!/#REF!*100</f>
        <v>#REF!</v>
      </c>
    </row>
    <row r="102" spans="5:5" ht="13.5" customHeight="1" x14ac:dyDescent="0.2">
      <c r="E102" s="29" t="e">
        <f>#REF!/#REF!*100</f>
        <v>#REF!</v>
      </c>
    </row>
    <row r="103" spans="5:5" ht="13.5" customHeight="1" x14ac:dyDescent="0.2">
      <c r="E103" s="29" t="e">
        <f>#REF!/#REF!*100</f>
        <v>#REF!</v>
      </c>
    </row>
  </sheetData>
  <mergeCells count="2">
    <mergeCell ref="A4:A5"/>
    <mergeCell ref="B4:E4"/>
  </mergeCells>
  <hyperlinks>
    <hyperlink ref="F1" location="Obsah!A1" display="Naspäť na obsah"/>
  </hyperlink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8"/>
  <sheetViews>
    <sheetView showGridLines="0" zoomScaleNormal="100" workbookViewId="0">
      <selection activeCell="A3" sqref="A3"/>
    </sheetView>
  </sheetViews>
  <sheetFormatPr defaultRowHeight="13.5" customHeight="1" x14ac:dyDescent="0.2"/>
  <cols>
    <col min="1" max="1" width="25.5" style="2" customWidth="1"/>
    <col min="2" max="5" width="13.125" style="2" customWidth="1"/>
    <col min="6" max="8" width="9" style="2"/>
    <col min="9" max="9" width="13.375" style="2" customWidth="1"/>
    <col min="10" max="10" width="25" style="2" customWidth="1"/>
    <col min="11" max="11" width="13.125" style="2" customWidth="1"/>
    <col min="12" max="12" width="20.5" style="2" customWidth="1"/>
    <col min="13" max="15" width="11.625" style="2" customWidth="1"/>
    <col min="16" max="16" width="13.125" style="2" customWidth="1"/>
    <col min="17" max="16384" width="9" style="2"/>
  </cols>
  <sheetData>
    <row r="1" spans="1:17" ht="13.5" customHeight="1" x14ac:dyDescent="0.2">
      <c r="A1" s="16" t="s">
        <v>139</v>
      </c>
      <c r="C1" s="3"/>
      <c r="F1" s="128" t="s">
        <v>138</v>
      </c>
    </row>
    <row r="2" spans="1:17" ht="13.5" customHeight="1" x14ac:dyDescent="0.2">
      <c r="A2" s="33" t="s">
        <v>144</v>
      </c>
      <c r="C2" s="3"/>
      <c r="K2" s="18"/>
    </row>
    <row r="3" spans="1:17" ht="13.5" customHeight="1" x14ac:dyDescent="0.2">
      <c r="B3" s="23"/>
      <c r="C3" s="30"/>
      <c r="D3" s="23"/>
      <c r="E3" s="23"/>
      <c r="K3" s="23"/>
    </row>
    <row r="4" spans="1:17" ht="13.5" customHeight="1" x14ac:dyDescent="0.2">
      <c r="A4" s="180" t="s">
        <v>29</v>
      </c>
      <c r="B4" s="180" t="s">
        <v>48</v>
      </c>
      <c r="C4" s="180"/>
      <c r="D4" s="180"/>
      <c r="E4" s="180"/>
      <c r="K4" s="23"/>
    </row>
    <row r="5" spans="1:17" ht="42" customHeight="1" x14ac:dyDescent="0.2">
      <c r="A5" s="180"/>
      <c r="B5" s="34" t="s">
        <v>80</v>
      </c>
      <c r="C5" s="34" t="s">
        <v>81</v>
      </c>
      <c r="D5" s="34" t="s">
        <v>26</v>
      </c>
      <c r="E5" s="34" t="s">
        <v>82</v>
      </c>
      <c r="K5" s="23"/>
    </row>
    <row r="6" spans="1:17" ht="13.5" customHeight="1" x14ac:dyDescent="0.2">
      <c r="A6" s="71" t="s">
        <v>14</v>
      </c>
      <c r="B6" s="72">
        <v>1476959235.0699992</v>
      </c>
      <c r="C6" s="72">
        <v>1378564434.1200004</v>
      </c>
      <c r="D6" s="72">
        <v>22169279.080000002</v>
      </c>
      <c r="E6" s="72">
        <v>86693868.289999992</v>
      </c>
      <c r="K6" s="23"/>
    </row>
    <row r="7" spans="1:17" ht="13.5" customHeight="1" x14ac:dyDescent="0.2">
      <c r="A7" s="65" t="s">
        <v>62</v>
      </c>
      <c r="B7" s="73">
        <v>1275223263.8199995</v>
      </c>
      <c r="C7" s="73">
        <v>1035648466.0800002</v>
      </c>
      <c r="D7" s="73">
        <v>18748799.760000002</v>
      </c>
      <c r="E7" s="73">
        <v>44125559.649999999</v>
      </c>
    </row>
    <row r="8" spans="1:17" ht="13.5" customHeight="1" x14ac:dyDescent="0.2">
      <c r="A8" s="65" t="s">
        <v>64</v>
      </c>
      <c r="B8" s="73">
        <v>38132281.280000001</v>
      </c>
      <c r="C8" s="73">
        <v>27143162.260000002</v>
      </c>
      <c r="D8" s="73">
        <v>312731.73</v>
      </c>
      <c r="E8" s="73">
        <v>26044778.18</v>
      </c>
    </row>
    <row r="9" spans="1:17" ht="13.5" customHeight="1" x14ac:dyDescent="0.2">
      <c r="A9" s="65" t="s">
        <v>65</v>
      </c>
      <c r="B9" s="73">
        <v>3732291.84</v>
      </c>
      <c r="C9" s="73">
        <v>82954377.739999995</v>
      </c>
      <c r="D9" s="73">
        <v>50895.19</v>
      </c>
      <c r="E9" s="73">
        <v>771971</v>
      </c>
      <c r="K9" s="32"/>
      <c r="Q9"/>
    </row>
    <row r="10" spans="1:17" ht="13.5" customHeight="1" x14ac:dyDescent="0.2">
      <c r="A10" s="74" t="s">
        <v>67</v>
      </c>
      <c r="B10" s="75">
        <v>159871398.13</v>
      </c>
      <c r="C10" s="75">
        <v>232818428.03999999</v>
      </c>
      <c r="D10" s="75">
        <v>3056852.4</v>
      </c>
      <c r="E10" s="75">
        <v>15751559.459999999</v>
      </c>
      <c r="K10" s="32"/>
      <c r="P10"/>
      <c r="Q10"/>
    </row>
    <row r="11" spans="1:17" ht="13.5" customHeight="1" x14ac:dyDescent="0.2">
      <c r="A11" s="45" t="s">
        <v>85</v>
      </c>
      <c r="B11" s="47"/>
      <c r="C11" s="47"/>
      <c r="D11" s="47"/>
      <c r="E11" s="47"/>
      <c r="K11" s="32"/>
      <c r="P11"/>
      <c r="Q11" s="44"/>
    </row>
    <row r="12" spans="1:17" ht="13.5" customHeight="1" x14ac:dyDescent="0.2">
      <c r="A12" s="144" t="s">
        <v>62</v>
      </c>
      <c r="B12" s="86">
        <v>0.86341128010859514</v>
      </c>
      <c r="C12" s="86">
        <v>0.75125140359587261</v>
      </c>
      <c r="D12" s="86">
        <v>0.84571084573129929</v>
      </c>
      <c r="E12" s="86">
        <v>0.50898132152086484</v>
      </c>
      <c r="K12" s="32"/>
      <c r="P12"/>
      <c r="Q12" s="44"/>
    </row>
    <row r="13" spans="1:17" ht="13.5" customHeight="1" x14ac:dyDescent="0.2">
      <c r="A13" s="145" t="s">
        <v>64</v>
      </c>
      <c r="B13" s="87">
        <v>2.5818100035911114E-2</v>
      </c>
      <c r="C13" s="87">
        <v>1.9689440397703793E-2</v>
      </c>
      <c r="D13" s="87">
        <v>1.4106535845007729E-2</v>
      </c>
      <c r="E13" s="87">
        <v>0.30042237927228616</v>
      </c>
      <c r="K13" s="31"/>
      <c r="P13"/>
      <c r="Q13" s="44"/>
    </row>
    <row r="14" spans="1:17" ht="13.5" customHeight="1" x14ac:dyDescent="0.2">
      <c r="A14" s="145" t="s">
        <v>77</v>
      </c>
      <c r="B14" s="87">
        <v>2.5270107335244843E-3</v>
      </c>
      <c r="C14" s="87">
        <v>6.0174465325556946E-2</v>
      </c>
      <c r="D14" s="87">
        <v>2.2957530471035955E-3</v>
      </c>
      <c r="E14" s="87">
        <v>8.904562862712238E-3</v>
      </c>
      <c r="K14" s="31"/>
      <c r="P14"/>
      <c r="Q14" s="44"/>
    </row>
    <row r="15" spans="1:17" ht="13.5" customHeight="1" x14ac:dyDescent="0.2">
      <c r="A15" s="146" t="s">
        <v>33</v>
      </c>
      <c r="B15" s="88">
        <v>0.10824360912196945</v>
      </c>
      <c r="C15" s="88">
        <v>0.16888469068086648</v>
      </c>
      <c r="D15" s="88">
        <v>0.1378868653765894</v>
      </c>
      <c r="E15" s="88">
        <v>0.18169173634413679</v>
      </c>
    </row>
    <row r="16" spans="1:17" ht="13.5" customHeight="1" x14ac:dyDescent="0.2">
      <c r="C16" s="3"/>
    </row>
    <row r="17" spans="1:7" ht="13.5" customHeight="1" x14ac:dyDescent="0.2">
      <c r="A17" s="2" t="s">
        <v>71</v>
      </c>
      <c r="C17" s="3"/>
    </row>
    <row r="22" spans="1:7" ht="13.5" customHeight="1" x14ac:dyDescent="0.2">
      <c r="G22" s="2" t="s">
        <v>71</v>
      </c>
    </row>
    <row r="76" spans="10:15" ht="13.5" customHeight="1" x14ac:dyDescent="0.2">
      <c r="J76" s="19"/>
      <c r="K76" s="19"/>
      <c r="L76" s="19"/>
      <c r="M76" s="19"/>
      <c r="N76" s="19"/>
      <c r="O76" s="19"/>
    </row>
    <row r="77" spans="10:15" ht="13.5" customHeight="1" x14ac:dyDescent="0.2">
      <c r="J77" s="15"/>
      <c r="K77" s="15"/>
      <c r="L77" s="15"/>
      <c r="M77" s="15"/>
      <c r="N77" s="15"/>
      <c r="O77" s="15"/>
    </row>
    <row r="78" spans="10:15" ht="13.5" customHeight="1" x14ac:dyDescent="0.2">
      <c r="J78" s="15"/>
      <c r="K78" s="15"/>
      <c r="L78" s="15"/>
      <c r="M78" s="15"/>
      <c r="N78" s="15"/>
      <c r="O78" s="15"/>
    </row>
    <row r="79" spans="10:15" ht="13.5" customHeight="1" x14ac:dyDescent="0.2">
      <c r="J79" s="15"/>
      <c r="K79" s="15"/>
      <c r="L79" s="15"/>
      <c r="M79" s="15"/>
      <c r="N79" s="15"/>
      <c r="O79" s="15"/>
    </row>
    <row r="80" spans="10:15" ht="13.5" customHeight="1" x14ac:dyDescent="0.2">
      <c r="J80" s="15"/>
      <c r="K80" s="15"/>
      <c r="L80" s="15"/>
      <c r="M80" s="15"/>
      <c r="N80" s="15"/>
      <c r="O80" s="15"/>
    </row>
    <row r="81" spans="10:15" ht="13.5" customHeight="1" x14ac:dyDescent="0.2">
      <c r="J81" s="15"/>
      <c r="K81" s="15"/>
      <c r="L81" s="15"/>
      <c r="M81" s="15"/>
      <c r="N81" s="15"/>
      <c r="O81" s="15"/>
    </row>
    <row r="82" spans="10:15" ht="13.5" customHeight="1" x14ac:dyDescent="0.2">
      <c r="J82" s="15"/>
      <c r="K82" s="15"/>
      <c r="L82" s="15"/>
      <c r="M82" s="15"/>
      <c r="N82" s="15"/>
      <c r="O82" s="15"/>
    </row>
    <row r="83" spans="10:15" ht="13.5" customHeight="1" x14ac:dyDescent="0.2">
      <c r="J83" s="15"/>
      <c r="K83" s="15"/>
      <c r="L83" s="15"/>
      <c r="M83" s="15"/>
      <c r="N83" s="15"/>
      <c r="O83" s="15"/>
    </row>
    <row r="84" spans="10:15" ht="13.5" customHeight="1" x14ac:dyDescent="0.2">
      <c r="J84" s="15"/>
      <c r="K84" s="15"/>
      <c r="L84" s="15"/>
      <c r="M84" s="15"/>
      <c r="N84" s="15"/>
      <c r="O84" s="15"/>
    </row>
    <row r="85" spans="10:15" ht="13.5" customHeight="1" x14ac:dyDescent="0.2">
      <c r="J85" s="15"/>
      <c r="K85" s="15"/>
      <c r="L85" s="15"/>
      <c r="M85" s="15"/>
      <c r="N85" s="15"/>
      <c r="O85" s="15"/>
    </row>
    <row r="88" spans="10:15" ht="13.5" customHeight="1" x14ac:dyDescent="0.2">
      <c r="J88" s="15"/>
    </row>
  </sheetData>
  <mergeCells count="2">
    <mergeCell ref="A4:A5"/>
    <mergeCell ref="B4:E4"/>
  </mergeCells>
  <hyperlinks>
    <hyperlink ref="F1" location="Obsah!A1" display="Naspäť na obsah"/>
  </hyperlink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9</vt:i4>
      </vt:variant>
      <vt:variant>
        <vt:lpstr>Pojmenované oblasti</vt:lpstr>
      </vt:variant>
      <vt:variant>
        <vt:i4>2</vt:i4>
      </vt:variant>
    </vt:vector>
  </HeadingPairs>
  <TitlesOfParts>
    <vt:vector size="11" baseType="lpstr">
      <vt:lpstr>Obsah</vt:lpstr>
      <vt:lpstr>Meta</vt:lpstr>
      <vt:lpstr>T1</vt:lpstr>
      <vt:lpstr>T2</vt:lpstr>
      <vt:lpstr>T3</vt:lpstr>
      <vt:lpstr>G1</vt:lpstr>
      <vt:lpstr>G2</vt:lpstr>
      <vt:lpstr>G3</vt:lpstr>
      <vt:lpstr>G4</vt:lpstr>
      <vt:lpstr>'T2'!Oblast_tisku</vt:lpstr>
      <vt:lpstr>'T3'!Oblast_tisku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2021-01-29T11:12:26Z</dcterms:created>
  <dcterms:modified xsi:type="dcterms:W3CDTF">2021-12-15T15:16:55Z</dcterms:modified>
</cp:coreProperties>
</file>