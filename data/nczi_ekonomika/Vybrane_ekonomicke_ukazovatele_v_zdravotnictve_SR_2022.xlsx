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ento_zošit"/>
  <bookViews>
    <workbookView xWindow="0" yWindow="0" windowWidth="15348" windowHeight="4548"/>
  </bookViews>
  <sheets>
    <sheet name="Obsah" sheetId="24" r:id="rId1"/>
    <sheet name="Meta" sheetId="18" r:id="rId2"/>
    <sheet name="T1" sheetId="19" r:id="rId3"/>
    <sheet name="T2" sheetId="2" r:id="rId4"/>
    <sheet name="T3" sheetId="3" r:id="rId5"/>
    <sheet name="G1" sheetId="20" r:id="rId6"/>
    <sheet name="G2" sheetId="21" r:id="rId7"/>
    <sheet name="G3" sheetId="22" r:id="rId8"/>
    <sheet name="G4" sheetId="23" r:id="rId9"/>
  </sheets>
  <definedNames>
    <definedName name="_xlnm.Print_Area" localSheetId="3">'T2'!$A$1:$F$38</definedName>
    <definedName name="_xlnm.Print_Area" localSheetId="4">'T3'!$A$1:$C$34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<sst xmlns="http://schemas.openxmlformats.org/spreadsheetml/2006/main" count="293" uniqueCount="151">
  <si>
    <t>MZ SR – nezisková organizácia</t>
  </si>
  <si>
    <t>MZ SR – akciová spoločnosť</t>
  </si>
  <si>
    <t>MZ SR – príspevková organizácia</t>
  </si>
  <si>
    <t xml:space="preserve">iný rezort – príspevková organizácia </t>
  </si>
  <si>
    <t>VÚC – nezisková organizácia</t>
  </si>
  <si>
    <t>VÚC – príspevková organizácia</t>
  </si>
  <si>
    <t>iný zriaďovateľ – živnostník, fyzická osoba</t>
  </si>
  <si>
    <t>iný zriaďovateľ – s. r. o.</t>
  </si>
  <si>
    <t>iný zriaďovateľ – nezisková organizácia</t>
  </si>
  <si>
    <t>iný zriaďovateľ – akciová spoločnosť</t>
  </si>
  <si>
    <t>iný zriaďovateľ – cirkevná organizácia</t>
  </si>
  <si>
    <t>Počet organizácií</t>
  </si>
  <si>
    <t>Náklady spolu (€)</t>
  </si>
  <si>
    <t>z toho na</t>
  </si>
  <si>
    <t>Výnosy spolu (€)</t>
  </si>
  <si>
    <t>mzdy</t>
  </si>
  <si>
    <t>odvody</t>
  </si>
  <si>
    <t>lieky</t>
  </si>
  <si>
    <t>zdravotnícke pomôcky</t>
  </si>
  <si>
    <t>odpisy</t>
  </si>
  <si>
    <t>spotrebu energie</t>
  </si>
  <si>
    <t xml:space="preserve">tržby od obyvateľstva </t>
  </si>
  <si>
    <t xml:space="preserve">z toho za lieky </t>
  </si>
  <si>
    <t>Slovenská republika</t>
  </si>
  <si>
    <t>všeobecné a špecializované nemocnice</t>
  </si>
  <si>
    <t>fakultné nemocnice</t>
  </si>
  <si>
    <t>liečebne</t>
  </si>
  <si>
    <t>Hospodársky výsledok (€)</t>
  </si>
  <si>
    <t>krv a krvné výrobky</t>
  </si>
  <si>
    <t>Ukazovateľ</t>
  </si>
  <si>
    <t>Spolu</t>
  </si>
  <si>
    <t>opravy a údržbu</t>
  </si>
  <si>
    <t>stravovanie pacientov</t>
  </si>
  <si>
    <t>ostatné výnosy</t>
  </si>
  <si>
    <t xml:space="preserve">tržby od zdravotných poisťovní </t>
  </si>
  <si>
    <t>prevádzkové dotácie od zriaďovateľa</t>
  </si>
  <si>
    <t>z toho zriaďovateľ a právna forma</t>
  </si>
  <si>
    <t>ostatnú hospodársko-technickú správu</t>
  </si>
  <si>
    <t>z toho za</t>
  </si>
  <si>
    <t>ukončené hospitalizácie</t>
  </si>
  <si>
    <t xml:space="preserve">ošetrovacie dni </t>
  </si>
  <si>
    <t>pripočítateľné položky</t>
  </si>
  <si>
    <t xml:space="preserve">body </t>
  </si>
  <si>
    <t>za lieky</t>
  </si>
  <si>
    <t>za zdravotnícke pomôcky</t>
  </si>
  <si>
    <t>za doplnkový sortiment lekární</t>
  </si>
  <si>
    <t>iné</t>
  </si>
  <si>
    <r>
      <t xml:space="preserve">ostatní ústavní PZS </t>
    </r>
    <r>
      <rPr>
        <vertAlign val="superscript"/>
        <sz val="9"/>
        <color theme="1"/>
        <rFont val="Arial"/>
        <family val="2"/>
        <charset val="238"/>
      </rPr>
      <t>2)</t>
    </r>
    <r>
      <rPr>
        <i/>
        <sz val="9"/>
        <color theme="1"/>
        <rFont val="Arial"/>
        <family val="2"/>
        <charset val="238"/>
      </rPr>
      <t/>
    </r>
  </si>
  <si>
    <t>Skupina poskytovateľa ústavnej zdravotnej starostlivosti</t>
  </si>
  <si>
    <t xml:space="preserve">z toho na </t>
  </si>
  <si>
    <t>doplnkový sortiment lekární</t>
  </si>
  <si>
    <t>pobyt v stacionári</t>
  </si>
  <si>
    <t>kapitáciu/paušál</t>
  </si>
  <si>
    <t>ambulantná zdravotná starostlivosť</t>
  </si>
  <si>
    <t>lekárenská starostlivosť</t>
  </si>
  <si>
    <t>Skupina poskytovateľa zdravotnej starostlivosti</t>
  </si>
  <si>
    <t>–</t>
  </si>
  <si>
    <t>iný zriaďovateľ – združenie (zväz, spolok)</t>
  </si>
  <si>
    <r>
      <rPr>
        <vertAlign val="superscript"/>
        <sz val="9"/>
        <color theme="1"/>
        <rFont val="Arial"/>
        <family val="2"/>
        <charset val="238"/>
      </rPr>
      <t>1)</t>
    </r>
    <r>
      <rPr>
        <sz val="9"/>
        <color theme="1"/>
        <rFont val="Arial"/>
        <family val="2"/>
        <charset val="238"/>
      </rPr>
      <t xml:space="preserve"> vykazovali vybraní poskytovatelia ústavnej zdravotnej starostlivosti zaradení do systému financovania prostredníctvom Diagnoses Related Groups (DRG) v zmysle metodických usmernení ÚDZS počas prechodného obdobia implementácie systému SK-DRG</t>
    </r>
  </si>
  <si>
    <r>
      <t xml:space="preserve">ukončené hospitalizačné prípady v zmysle DRG </t>
    </r>
    <r>
      <rPr>
        <vertAlign val="superscript"/>
        <sz val="9"/>
        <color theme="1"/>
        <rFont val="Arial"/>
        <family val="2"/>
        <charset val="238"/>
      </rPr>
      <t>1)</t>
    </r>
  </si>
  <si>
    <r>
      <rPr>
        <vertAlign val="superscript"/>
        <sz val="9"/>
        <rFont val="Arial"/>
        <family val="2"/>
        <charset val="238"/>
      </rPr>
      <t xml:space="preserve">2) </t>
    </r>
    <r>
      <rPr>
        <sz val="9"/>
        <rFont val="Arial"/>
        <family val="2"/>
        <charset val="238"/>
      </rPr>
      <t>kúpele, ozdravovne, hospice, domy ošetrovateľskej starostlivosti</t>
    </r>
  </si>
  <si>
    <t>tržby od zdravotných poisťovní</t>
  </si>
  <si>
    <t>doplnkový sortiment lekárni</t>
  </si>
  <si>
    <t>tržby od obyvateľstva</t>
  </si>
  <si>
    <t xml:space="preserve">stravovanie pacientov </t>
  </si>
  <si>
    <r>
      <rPr>
        <vertAlign val="superscript"/>
        <sz val="9"/>
        <color theme="1"/>
        <rFont val="Arial"/>
        <family val="2"/>
        <charset val="238"/>
      </rPr>
      <t xml:space="preserve">1) </t>
    </r>
    <r>
      <rPr>
        <sz val="9"/>
        <color theme="1"/>
        <rFont val="Arial"/>
        <family val="2"/>
        <charset val="238"/>
      </rPr>
      <t>kúpele, ozdravovne, hospice, domy ošetrovateľskej starostlivosti</t>
    </r>
  </si>
  <si>
    <t>mzdy a odvody</t>
  </si>
  <si>
    <t>ostatné náklady</t>
  </si>
  <si>
    <t>lekárenská
starostlivosť</t>
  </si>
  <si>
    <t>prevádzkové dotácie</t>
  </si>
  <si>
    <t>ambulantná
zdravotná
starostlivosť</t>
  </si>
  <si>
    <t>ústavná
zdravotná
starostlivosť</t>
  </si>
  <si>
    <t xml:space="preserve">všeobecné
a špecializované
nemocnice </t>
  </si>
  <si>
    <t>fakultné
nemocnice</t>
  </si>
  <si>
    <t>Podiel v %</t>
  </si>
  <si>
    <t>Metodické poznámky</t>
  </si>
  <si>
    <t>Vysvetlenie symbolov</t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</si>
  <si>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</si>
  <si>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t>(–)</t>
  </si>
  <si>
    <t>jav sa nevyskytoval</t>
  </si>
  <si>
    <t xml:space="preserve">Nula
</t>
  </si>
  <si>
    <t>(0; 0,0; 0,00)</t>
  </si>
  <si>
    <t>znamená viac ako nulu, ale menej ako najmenšiu jednotku vyjadriteľnú v tabuľke</t>
  </si>
  <si>
    <t xml:space="preserve">Bodka
</t>
  </si>
  <si>
    <t>(.)</t>
  </si>
  <si>
    <t>údaj nie je k dispozícií alebo je nespoľahlivý</t>
  </si>
  <si>
    <t xml:space="preserve">Ležatý krížik
</t>
  </si>
  <si>
    <t>(x)</t>
  </si>
  <si>
    <t>zápis nie je možný z logických dôvodov</t>
  </si>
  <si>
    <t xml:space="preserve">Veľké D
 </t>
  </si>
  <si>
    <t>(D)</t>
  </si>
  <si>
    <t>údaj nie je možné publikovať pre jeho dôverný charakter</t>
  </si>
  <si>
    <t>Znak zlomu</t>
  </si>
  <si>
    <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Arial"/>
        <family val="2"/>
        <charset val="238"/>
      </rPr>
      <t>)</t>
    </r>
  </si>
  <si>
    <t>prerušenie porovnateľnosti časového radu z metodických alebo iných dôvodov</t>
  </si>
  <si>
    <t>z toho</t>
  </si>
  <si>
    <t>znamená neúplný výber položiek</t>
  </si>
  <si>
    <t>v tom</t>
  </si>
  <si>
    <t>znamená úplný výber položiek</t>
  </si>
  <si>
    <t>© Národné centrum zdravotníckych informácií</t>
  </si>
  <si>
    <t>PZS</t>
  </si>
  <si>
    <t>Údaje o finančnom hospodárení organizácií pôsobiacich v zdravotníctve sú získavané na báze zisťovania ekonomiky nákladových stredísk – odborných útvarov.</t>
  </si>
  <si>
    <t>Zaradenie poskytovateľa zdravotnej starostlivosti do skupiny poskytovateľov v tabuľke T 2 a T 3 je na základe prevažujúcej činnosti daného PZS.</t>
  </si>
  <si>
    <t>Zoznam druhov právnej formy u jednotlivých zriaďovateľov v tabuľke T 1 nie je vyčerpávajúci. Uvedené sú len triedenia, v ktorých počet spravodajských jednotiek bol rovný alebo väčší ako 3 z dôvodu ochrany dôverných štatistických údajov spravodajských jednotiek.</t>
  </si>
  <si>
    <t>Názov</t>
  </si>
  <si>
    <t>Hárok</t>
  </si>
  <si>
    <t>tabuľka</t>
  </si>
  <si>
    <t>Meta</t>
  </si>
  <si>
    <t>T1</t>
  </si>
  <si>
    <t>graf</t>
  </si>
  <si>
    <t>T2</t>
  </si>
  <si>
    <t>T3</t>
  </si>
  <si>
    <t>Skratky</t>
  </si>
  <si>
    <t>poskytovateľ zdravotnej starostlivosti</t>
  </si>
  <si>
    <t>Ministerstvo zdravotníctva Slovenskej republiky</t>
  </si>
  <si>
    <t>MZ SR</t>
  </si>
  <si>
    <t>VÚC</t>
  </si>
  <si>
    <t>vyšší územný celok</t>
  </si>
  <si>
    <t>s. r. o.</t>
  </si>
  <si>
    <t>spoločnosť s ručením obmedzeným</t>
  </si>
  <si>
    <t>Ročný výkaz o ekonomike organizácií v zdravotníctve E (MZ SR) 2-01
Štvrťročný výkaz o ekonomike organizácií v zdravotníctve E (MZ SR) 1-04
Mesačný výkaz o ekonomike vybraných organizácií v zdravotníctve E (MZ SR) 3-12</t>
  </si>
  <si>
    <t>VÚC – s. r. o.</t>
  </si>
  <si>
    <t>spotreba energie</t>
  </si>
  <si>
    <t>Naspäť na obsah</t>
  </si>
  <si>
    <t>iný zriaďovateľ – zahraničná osoba</t>
  </si>
  <si>
    <t>výkony vrátane jednodňovej ZS</t>
  </si>
  <si>
    <t>iný rezort – akciová spoločnosť</t>
  </si>
  <si>
    <t>Vybrané ekonomické ukazovatele v zdravotníctve v Slovenskej republike 2022</t>
  </si>
  <si>
    <t>metaúdaje</t>
  </si>
  <si>
    <t>T 1 Náklady, výnosy a hospodársky výsledok v organizáciách v zdravotníctve podľa zriaďovateľa a právnej formy v roku 2022</t>
  </si>
  <si>
    <t>T 2 Náklady, výnosy a hospodársky výsledok v zariadeniach ústavnej zdravotnej starostlivosti v roku 2022</t>
  </si>
  <si>
    <t>T 3 Náklady, výnosy a hospodársky výsledok v zariadeniach ambulantnej a lekárenskej zdravotnej starostlivosti v roku 2022</t>
  </si>
  <si>
    <t>G 2 Štruktúra výnosov podľa formy poskytovanej zdravotnej starostlivosti v roku 2022</t>
  </si>
  <si>
    <t>G 3 Štruktúra nákladov v zariadeniach ústavnej zdravotnej starostlivosti v roku 2022</t>
  </si>
  <si>
    <t>G 4 Štruktúra výnosov v zariadeniach ústavnej zdravotnej starostlivosti v roku 2022</t>
  </si>
  <si>
    <t>Zdrojom údajov za rok 2022 sú štatistické zisťovania Ministerstva zdravotníctva SR:</t>
  </si>
  <si>
    <t>VÚC – akciová spoločnosť</t>
  </si>
  <si>
    <t>Zdrojové údaje ku G 1:</t>
  </si>
  <si>
    <t>Zdrojové údaje ku G 3:</t>
  </si>
  <si>
    <t>Zdrojové údaje ku G 2:</t>
  </si>
  <si>
    <t>Zdrojové údaje ku G 4:</t>
  </si>
  <si>
    <t>G 1 Štruktúra nákladov podľa formy poskytovanej zdravotnej starostlivosti v roku 2022</t>
  </si>
  <si>
    <r>
      <t xml:space="preserve">Spravodajskými jednotkami sú organizácie pôsobiace v zdravotníctve na území SR:
- všetky príspevkové a neziskové organizácie a štátne akciové spoločnosti - poskytovatelia zdravotnej starostlivosti a poskytovatelia služieb súvisiacich s poskytovaním zdravotnej starostlivosti a ďalšie organizácie v zdravotníctve,
- neštátni poskytovatelia zdravotnej starostlivosti a poskytovatelia služieb súvisiacich s poskytovaním zdravotnej starostlivosti (mimo zubných technikov).
Výkaz predkladajú právnické, resp. fyzické osoby sumárne za všetky zdravotnícke zariadenia, ktoré prevádzkujú. Návratnosť výkazov od spravodajských jednotiek bola </t>
    </r>
    <r>
      <rPr>
        <sz val="9"/>
        <color theme="1"/>
        <rFont val="Arial"/>
        <family val="2"/>
        <charset val="238"/>
      </rPr>
      <t>78,71 %.</t>
    </r>
  </si>
  <si>
    <t xml:space="preserve">G 2 Štruktúra výnosov podľa formy poskytovanej zdravotnej starostlivosti v roku 2022
</t>
  </si>
  <si>
    <t>G1</t>
  </si>
  <si>
    <t>G2</t>
  </si>
  <si>
    <t>G3</t>
  </si>
  <si>
    <t>G4</t>
  </si>
  <si>
    <r>
      <t>ostatní ústavní PZS</t>
    </r>
    <r>
      <rPr>
        <vertAlign val="superscript"/>
        <sz val="9"/>
        <color theme="1"/>
        <rFont val="Arial"/>
        <family val="2"/>
        <charset val="238"/>
      </rPr>
      <t>1)</t>
    </r>
  </si>
  <si>
    <r>
      <t xml:space="preserve">Dátum publikovania: </t>
    </r>
    <r>
      <rPr>
        <sz val="9"/>
        <color theme="1"/>
        <rFont val="Arial"/>
        <family val="2"/>
        <charset val="238"/>
      </rPr>
      <t>december 2023</t>
    </r>
  </si>
  <si>
    <t>Náklady spolu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</si>
</sst>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0.000"/>
    <numFmt numFmtId="166" formatCode="0.0%"/>
  </numFmts>
  <fonts count="33" x14ac:knownFonts="1">
    <font>
      <sz val="11"/>
      <color theme="1"/>
      <name val="Arial"/>
      <family val="2"/>
      <charset val="238"/>
      <scheme val="minor"/>
    </font>
    <font>
      <sz val="10"/>
      <color indexed="8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i/>
      <sz val="9"/>
      <color theme="1"/>
      <name val="Arial"/>
      <family val="2"/>
      <charset val="238"/>
    </font>
    <font>
      <sz val="9"/>
      <name val="Arial"/>
      <family val="2"/>
      <charset val="238"/>
    </font>
    <font>
      <i/>
      <sz val="9"/>
      <name val="Arial"/>
      <family val="2"/>
      <charset val="238"/>
    </font>
    <font>
      <b/>
      <sz val="10"/>
      <name val="Arial"/>
      <family val="2"/>
      <charset val="238"/>
    </font>
    <font>
      <vertAlign val="superscript"/>
      <sz val="9"/>
      <color theme="1"/>
      <name val="Arial"/>
      <family val="2"/>
      <charset val="238"/>
    </font>
    <font>
      <sz val="10"/>
      <name val="Arial CE"/>
      <charset val="238"/>
    </font>
    <font>
      <sz val="11"/>
      <color theme="1"/>
      <name val="Arial"/>
      <family val="2"/>
      <scheme val="minor"/>
    </font>
    <font>
      <sz val="9"/>
      <color rgb="FFFF0000"/>
      <name val="Arial"/>
      <family val="2"/>
      <charset val="238"/>
    </font>
    <font>
      <sz val="10"/>
      <name val="Times New Roman"/>
      <family val="1"/>
      <charset val="238"/>
    </font>
    <font>
      <vertAlign val="superscript"/>
      <sz val="9"/>
      <name val="Arial"/>
      <family val="2"/>
      <charset val="238"/>
    </font>
    <font>
      <sz val="9"/>
      <color indexed="8"/>
      <name val="Arial"/>
      <family val="2"/>
      <charset val="238"/>
    </font>
    <font>
      <sz val="10"/>
      <name val="Arial"/>
      <family val="2"/>
      <charset val="238"/>
    </font>
    <font>
      <b/>
      <sz val="9"/>
      <name val="Arial"/>
      <family val="2"/>
      <charset val="238"/>
    </font>
    <font>
      <sz val="11"/>
      <color rgb="FF000000"/>
      <name val="Calibri"/>
      <family val="2"/>
    </font>
    <font>
      <u/>
      <sz val="9"/>
      <color rgb="FF0000FF"/>
      <name val="Arial"/>
      <family val="2"/>
      <charset val="238"/>
    </font>
    <font>
      <u/>
      <sz val="11"/>
      <color theme="10"/>
      <name val="Arial"/>
      <family val="2"/>
      <charset val="238"/>
      <scheme val="minor"/>
    </font>
    <font>
      <u/>
      <sz val="10"/>
      <color theme="10"/>
      <name val="Arial"/>
      <family val="2"/>
      <charset val="238"/>
      <scheme val="minor"/>
    </font>
    <font>
      <sz val="9"/>
      <color theme="1"/>
      <name val="Webdings"/>
      <family val="1"/>
      <charset val="2"/>
    </font>
    <font>
      <sz val="10"/>
      <color rgb="FF000000"/>
      <name val="Arial"/>
      <family val="2"/>
      <charset val="238"/>
    </font>
    <font>
      <sz val="9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u/>
      <sz val="10"/>
      <color rgb="FF0000FF"/>
      <name val="Arial"/>
      <family val="2"/>
      <charset val="238"/>
      <scheme val="minor"/>
    </font>
    <font>
      <u/>
      <sz val="9"/>
      <color rgb="FF0000FF"/>
      <name val="Arial"/>
      <family val="2"/>
      <charset val="238"/>
      <scheme val="minor"/>
    </font>
    <font>
      <sz val="9"/>
      <color rgb="FF000000"/>
      <name val="Arial"/>
      <family val="2"/>
      <charset val="238"/>
    </font>
    <font>
      <sz val="10"/>
      <name val="MS Sans Serif"/>
      <charset val="238"/>
    </font>
    <font>
      <sz val="8"/>
      <color rgb="FF9C0006"/>
      <name val="Calibri"/>
      <family val="2"/>
      <charset val="238"/>
    </font>
    <font>
      <b/>
      <sz val="10"/>
      <color rgb="FF000000"/>
      <name val="Arial"/>
      <family val="2"/>
      <charset val="238"/>
      <scheme val="minor"/>
    </font>
    <font>
      <b/>
      <sz val="9"/>
      <color indexed="8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9E7FF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</patternFill>
    </fill>
    <fill>
      <patternFill patternType="solid">
        <fgColor rgb="FFB5DEFF"/>
        <bgColor indexed="64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0" tint="-0.14996795556505021"/>
      </bottom>
      <diagonal/>
    </border>
  </borders>
  <cellStyleXfs count="15">
    <xf numFmtId="0" fontId="0" fillId="0" borderId="0"/>
    <xf numFmtId="0" fontId="1" fillId="0" borderId="0"/>
    <xf numFmtId="0" fontId="1" fillId="0" borderId="0"/>
    <xf numFmtId="0" fontId="11" fillId="0" borderId="0"/>
    <xf numFmtId="0" fontId="13" fillId="0" borderId="0"/>
    <xf numFmtId="0" fontId="18" fillId="0" borderId="0" applyNumberFormat="0" applyBorder="0" applyAlignment="0"/>
    <xf numFmtId="0" fontId="10" fillId="0" borderId="0"/>
    <xf numFmtId="0" fontId="20" fillId="0" borderId="0" applyNumberFormat="0" applyFill="0" applyBorder="0" applyAlignment="0" applyProtection="0"/>
    <xf numFmtId="0" fontId="11" fillId="0" borderId="0"/>
    <xf numFmtId="0" fontId="23" fillId="0" borderId="0" applyNumberFormat="0" applyBorder="0" applyProtection="0"/>
    <xf numFmtId="9" fontId="2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9" fillId="0" borderId="0"/>
    <xf numFmtId="0" fontId="16" fillId="0" borderId="0"/>
    <xf numFmtId="0" fontId="30" fillId="6" borderId="0" applyNumberFormat="0" applyBorder="0" applyAlignment="0" applyProtection="0"/>
  </cellStyleXfs>
  <cellXfs count="158">
    <xf numFmtId="0" fontId="0" fillId="0" borderId="0" xfId="0"/>
    <xf numFmtId="0" fontId="2" fillId="0" borderId="0" xfId="0" applyFont="1" applyFill="1" applyBorder="1"/>
    <xf numFmtId="0" fontId="4" fillId="0" borderId="0" xfId="0" applyFont="1"/>
    <xf numFmtId="0" fontId="4" fillId="0" borderId="0" xfId="0" applyFont="1" applyFill="1"/>
    <xf numFmtId="3" fontId="7" fillId="0" borderId="0" xfId="1" applyNumberFormat="1" applyFont="1" applyFill="1" applyBorder="1" applyAlignment="1">
      <alignment horizontal="left"/>
    </xf>
    <xf numFmtId="3" fontId="4" fillId="0" borderId="0" xfId="0" applyNumberFormat="1" applyFont="1"/>
    <xf numFmtId="0" fontId="8" fillId="0" borderId="0" xfId="0" applyFont="1" applyFill="1" applyBorder="1" applyAlignment="1">
      <alignment horizontal="left"/>
    </xf>
    <xf numFmtId="0" fontId="7" fillId="0" borderId="0" xfId="0" applyFont="1" applyFill="1" applyBorder="1"/>
    <xf numFmtId="0" fontId="6" fillId="0" borderId="0" xfId="0" applyFont="1" applyFill="1" applyBorder="1"/>
    <xf numFmtId="0" fontId="6" fillId="0" borderId="0" xfId="0" applyFont="1"/>
    <xf numFmtId="3" fontId="6" fillId="0" borderId="0" xfId="0" applyNumberFormat="1" applyFont="1" applyAlignment="1">
      <alignment horizontal="right"/>
    </xf>
    <xf numFmtId="3" fontId="6" fillId="0" borderId="0" xfId="0" applyNumberFormat="1" applyFont="1" applyBorder="1"/>
    <xf numFmtId="3" fontId="6" fillId="0" borderId="0" xfId="0" applyNumberFormat="1" applyFont="1" applyBorder="1" applyAlignment="1">
      <alignment horizontal="right"/>
    </xf>
    <xf numFmtId="0" fontId="6" fillId="0" borderId="0" xfId="0" applyNumberFormat="1" applyFont="1"/>
    <xf numFmtId="0" fontId="6" fillId="0" borderId="0" xfId="0" applyFont="1" applyFill="1"/>
    <xf numFmtId="164" fontId="4" fillId="0" borderId="0" xfId="0" applyNumberFormat="1" applyFont="1"/>
    <xf numFmtId="0" fontId="4" fillId="0" borderId="0" xfId="4" applyFont="1" applyBorder="1"/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3" fillId="0" borderId="0" xfId="0" applyNumberFormat="1" applyFont="1"/>
    <xf numFmtId="0" fontId="4" fillId="0" borderId="0" xfId="0" applyFont="1" applyFill="1" applyBorder="1" applyAlignment="1"/>
    <xf numFmtId="165" fontId="4" fillId="0" borderId="0" xfId="0" applyNumberFormat="1" applyFont="1"/>
    <xf numFmtId="165" fontId="4" fillId="0" borderId="0" xfId="0" applyNumberFormat="1" applyFont="1" applyFill="1"/>
    <xf numFmtId="165" fontId="16" fillId="0" borderId="0" xfId="0" applyNumberFormat="1" applyFont="1" applyAlignment="1">
      <alignment horizontal="left"/>
    </xf>
    <xf numFmtId="0" fontId="5" fillId="0" borderId="0" xfId="0" applyFont="1"/>
    <xf numFmtId="1" fontId="3" fillId="0" borderId="0" xfId="0" applyNumberFormat="1" applyFont="1" applyFill="1"/>
    <xf numFmtId="0" fontId="4" fillId="0" borderId="0" xfId="0" applyFont="1" applyBorder="1"/>
    <xf numFmtId="164" fontId="4" fillId="0" borderId="0" xfId="0" applyNumberFormat="1" applyFont="1" applyFill="1" applyBorder="1"/>
    <xf numFmtId="0" fontId="2" fillId="0" borderId="0" xfId="0" applyFont="1"/>
    <xf numFmtId="0" fontId="19" fillId="0" borderId="0" xfId="11" applyFont="1"/>
    <xf numFmtId="0" fontId="21" fillId="0" borderId="0" xfId="7" applyFont="1"/>
    <xf numFmtId="0" fontId="6" fillId="2" borderId="0" xfId="6" applyFont="1" applyFill="1"/>
    <xf numFmtId="0" fontId="6" fillId="2" borderId="0" xfId="6" applyFont="1" applyFill="1" applyAlignment="1">
      <alignment vertical="top"/>
    </xf>
    <xf numFmtId="0" fontId="6" fillId="0" borderId="0" xfId="6" applyFont="1"/>
    <xf numFmtId="0" fontId="17" fillId="3" borderId="0" xfId="6" applyFont="1" applyFill="1" applyAlignment="1">
      <alignment horizontal="left" vertical="center" wrapText="1"/>
    </xf>
    <xf numFmtId="0" fontId="6" fillId="3" borderId="0" xfId="6" applyFont="1" applyFill="1" applyAlignment="1">
      <alignment horizontal="left" vertical="center" wrapText="1"/>
    </xf>
    <xf numFmtId="0" fontId="12" fillId="2" borderId="0" xfId="6" applyFont="1" applyFill="1"/>
    <xf numFmtId="0" fontId="0" fillId="0" borderId="0" xfId="0" applyAlignment="1">
      <alignment horizontal="left"/>
    </xf>
    <xf numFmtId="0" fontId="8" fillId="0" borderId="0" xfId="6" applyFont="1" applyFill="1" applyAlignment="1">
      <alignment vertical="center" wrapText="1"/>
    </xf>
    <xf numFmtId="0" fontId="8" fillId="0" borderId="0" xfId="6" applyFont="1" applyFill="1" applyAlignment="1">
      <alignment vertical="center"/>
    </xf>
    <xf numFmtId="0" fontId="19" fillId="0" borderId="0" xfId="11" applyFont="1" applyFill="1"/>
    <xf numFmtId="0" fontId="21" fillId="0" borderId="0" xfId="7" applyFont="1" applyFill="1"/>
    <xf numFmtId="0" fontId="6" fillId="0" borderId="0" xfId="6" applyFont="1" applyFill="1" applyAlignment="1">
      <alignment vertical="center" wrapText="1"/>
    </xf>
    <xf numFmtId="0" fontId="4" fillId="0" borderId="0" xfId="0" applyFont="1" applyFill="1" applyAlignment="1">
      <alignment horizontal="center"/>
    </xf>
    <xf numFmtId="0" fontId="6" fillId="3" borderId="0" xfId="6" applyFont="1" applyFill="1" applyAlignment="1">
      <alignment vertical="center" wrapText="1"/>
    </xf>
    <xf numFmtId="0" fontId="6" fillId="3" borderId="0" xfId="6" applyFont="1" applyFill="1" applyAlignment="1">
      <alignment vertical="center"/>
    </xf>
    <xf numFmtId="0" fontId="6" fillId="3" borderId="0" xfId="6" applyFont="1" applyFill="1" applyAlignment="1">
      <alignment horizontal="left" vertical="center"/>
    </xf>
    <xf numFmtId="0" fontId="24" fillId="0" borderId="0" xfId="6" applyFont="1"/>
    <xf numFmtId="164" fontId="4" fillId="0" borderId="8" xfId="0" applyNumberFormat="1" applyFont="1" applyFill="1" applyBorder="1"/>
    <xf numFmtId="0" fontId="4" fillId="0" borderId="8" xfId="0" applyFont="1" applyFill="1" applyBorder="1" applyAlignment="1">
      <alignment horizontal="left" indent="1"/>
    </xf>
    <xf numFmtId="0" fontId="6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0" xfId="6" applyFont="1" applyFill="1" applyBorder="1" applyAlignment="1"/>
    <xf numFmtId="0" fontId="4" fillId="4" borderId="0" xfId="6" applyFont="1" applyFill="1" applyBorder="1"/>
    <xf numFmtId="0" fontId="4" fillId="4" borderId="0" xfId="6" applyFont="1" applyFill="1" applyBorder="1" applyAlignment="1">
      <alignment vertical="center"/>
    </xf>
    <xf numFmtId="0" fontId="4" fillId="4" borderId="0" xfId="6" applyFont="1" applyFill="1" applyBorder="1" applyAlignment="1">
      <alignment horizontal="left" vertical="center"/>
    </xf>
    <xf numFmtId="0" fontId="26" fillId="0" borderId="0" xfId="11" applyFont="1" applyAlignment="1">
      <alignment horizontal="right"/>
    </xf>
    <xf numFmtId="0" fontId="4" fillId="0" borderId="0" xfId="0" applyFont="1" applyFill="1" applyBorder="1"/>
    <xf numFmtId="4" fontId="4" fillId="0" borderId="0" xfId="0" applyNumberFormat="1" applyFont="1"/>
    <xf numFmtId="4" fontId="3" fillId="0" borderId="0" xfId="0" applyNumberFormat="1" applyFont="1" applyBorder="1"/>
    <xf numFmtId="4" fontId="4" fillId="0" borderId="0" xfId="0" applyNumberFormat="1" applyFont="1" applyFill="1" applyBorder="1"/>
    <xf numFmtId="166" fontId="4" fillId="0" borderId="0" xfId="0" applyNumberFormat="1" applyFont="1" applyBorder="1"/>
    <xf numFmtId="0" fontId="3" fillId="0" borderId="7" xfId="0" applyFont="1" applyFill="1" applyBorder="1" applyAlignment="1">
      <alignment wrapText="1"/>
    </xf>
    <xf numFmtId="3" fontId="3" fillId="0" borderId="7" xfId="0" applyNumberFormat="1" applyFont="1" applyFill="1" applyBorder="1"/>
    <xf numFmtId="0" fontId="3" fillId="0" borderId="8" xfId="0" applyFont="1" applyFill="1" applyBorder="1"/>
    <xf numFmtId="164" fontId="3" fillId="0" borderId="8" xfId="0" applyNumberFormat="1" applyFont="1" applyFill="1" applyBorder="1"/>
    <xf numFmtId="0" fontId="4" fillId="0" borderId="8" xfId="0" applyFont="1" applyFill="1" applyBorder="1"/>
    <xf numFmtId="164" fontId="4" fillId="0" borderId="8" xfId="0" applyNumberFormat="1" applyFont="1" applyFill="1" applyBorder="1" applyAlignment="1">
      <alignment horizontal="right"/>
    </xf>
    <xf numFmtId="0" fontId="4" fillId="0" borderId="8" xfId="0" applyFont="1" applyFill="1" applyBorder="1" applyAlignment="1">
      <alignment horizontal="left" indent="2"/>
    </xf>
    <xf numFmtId="0" fontId="6" fillId="0" borderId="8" xfId="0" applyFont="1" applyFill="1" applyBorder="1" applyAlignment="1">
      <alignment horizontal="left" indent="1"/>
    </xf>
    <xf numFmtId="0" fontId="3" fillId="0" borderId="9" xfId="0" applyFont="1" applyFill="1" applyBorder="1"/>
    <xf numFmtId="164" fontId="3" fillId="0" borderId="9" xfId="0" applyNumberFormat="1" applyFont="1" applyFill="1" applyBorder="1"/>
    <xf numFmtId="0" fontId="6" fillId="0" borderId="0" xfId="0" applyFont="1" applyBorder="1"/>
    <xf numFmtId="0" fontId="3" fillId="0" borderId="0" xfId="0" applyFont="1" applyFill="1" applyBorder="1" applyAlignment="1">
      <alignment wrapText="1"/>
    </xf>
    <xf numFmtId="3" fontId="3" fillId="0" borderId="0" xfId="0" applyNumberFormat="1" applyFont="1" applyFill="1" applyBorder="1"/>
    <xf numFmtId="0" fontId="3" fillId="0" borderId="0" xfId="0" applyFont="1" applyFill="1" applyBorder="1"/>
    <xf numFmtId="164" fontId="3" fillId="0" borderId="0" xfId="0" applyNumberFormat="1" applyFont="1" applyFill="1" applyBorder="1"/>
    <xf numFmtId="0" fontId="4" fillId="0" borderId="0" xfId="0" applyFont="1" applyFill="1" applyBorder="1" applyAlignment="1">
      <alignment horizontal="left" indent="1"/>
    </xf>
    <xf numFmtId="164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indent="2"/>
    </xf>
    <xf numFmtId="0" fontId="4" fillId="0" borderId="0" xfId="0" applyFont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27" fillId="0" borderId="0" xfId="11" applyFont="1" applyAlignment="1">
      <alignment horizontal="right"/>
    </xf>
    <xf numFmtId="164" fontId="17" fillId="0" borderId="6" xfId="0" applyNumberFormat="1" applyFont="1" applyFill="1" applyBorder="1" applyAlignment="1">
      <alignment horizontal="right"/>
    </xf>
    <xf numFmtId="164" fontId="17" fillId="0" borderId="6" xfId="0" applyNumberFormat="1" applyFont="1" applyFill="1" applyBorder="1"/>
    <xf numFmtId="0" fontId="3" fillId="0" borderId="7" xfId="0" applyFont="1" applyFill="1" applyBorder="1" applyAlignment="1">
      <alignment horizontal="right"/>
    </xf>
    <xf numFmtId="164" fontId="3" fillId="0" borderId="8" xfId="0" applyNumberFormat="1" applyFont="1" applyFill="1" applyBorder="1" applyAlignment="1">
      <alignment horizontal="right"/>
    </xf>
    <xf numFmtId="164" fontId="3" fillId="0" borderId="9" xfId="0" applyNumberFormat="1" applyFont="1" applyFill="1" applyBorder="1" applyAlignment="1">
      <alignment horizontal="right"/>
    </xf>
    <xf numFmtId="3" fontId="17" fillId="0" borderId="10" xfId="0" applyNumberFormat="1" applyFont="1" applyFill="1" applyBorder="1"/>
    <xf numFmtId="164" fontId="17" fillId="0" borderId="11" xfId="0" applyNumberFormat="1" applyFont="1" applyFill="1" applyBorder="1"/>
    <xf numFmtId="164" fontId="6" fillId="0" borderId="11" xfId="0" applyNumberFormat="1" applyFont="1" applyFill="1" applyBorder="1"/>
    <xf numFmtId="164" fontId="6" fillId="0" borderId="11" xfId="0" applyNumberFormat="1" applyFont="1" applyFill="1" applyBorder="1" applyAlignment="1">
      <alignment horizontal="right"/>
    </xf>
    <xf numFmtId="164" fontId="17" fillId="0" borderId="11" xfId="0" applyNumberFormat="1" applyFont="1" applyFill="1" applyBorder="1" applyAlignment="1">
      <alignment horizontal="right"/>
    </xf>
    <xf numFmtId="0" fontId="28" fillId="8" borderId="0" xfId="0" applyFont="1" applyFill="1" applyAlignment="1">
      <alignment horizontal="left" vertical="center"/>
    </xf>
    <xf numFmtId="0" fontId="28" fillId="8" borderId="0" xfId="0" applyFont="1" applyFill="1" applyAlignment="1">
      <alignment horizontal="center" vertical="center"/>
    </xf>
    <xf numFmtId="0" fontId="28" fillId="5" borderId="15" xfId="0" applyFont="1" applyFill="1" applyBorder="1" applyAlignment="1">
      <alignment horizontal="left" vertical="center"/>
    </xf>
    <xf numFmtId="0" fontId="28" fillId="5" borderId="15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left" vertical="center"/>
    </xf>
    <xf numFmtId="0" fontId="19" fillId="0" borderId="15" xfId="7" applyFont="1" applyBorder="1" applyAlignment="1">
      <alignment horizontal="center" vertical="center"/>
    </xf>
    <xf numFmtId="0" fontId="19" fillId="5" borderId="15" xfId="7" applyFont="1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5" fillId="0" borderId="0" xfId="0" applyFont="1" applyAlignment="1"/>
    <xf numFmtId="1" fontId="0" fillId="0" borderId="0" xfId="0" applyNumberFormat="1"/>
    <xf numFmtId="164" fontId="0" fillId="0" borderId="0" xfId="0" applyNumberFormat="1"/>
    <xf numFmtId="0" fontId="6" fillId="0" borderId="0" xfId="3" applyNumberFormat="1" applyFont="1" applyBorder="1" applyAlignment="1"/>
    <xf numFmtId="0" fontId="15" fillId="0" borderId="2" xfId="2" applyFont="1" applyFill="1" applyBorder="1" applyAlignment="1">
      <alignment horizontal="left" vertical="top" indent="1"/>
    </xf>
    <xf numFmtId="166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 indent="1"/>
    </xf>
    <xf numFmtId="0" fontId="4" fillId="0" borderId="2" xfId="0" applyFont="1" applyFill="1" applyBorder="1" applyAlignment="1">
      <alignment horizontal="left" indent="1"/>
    </xf>
    <xf numFmtId="166" fontId="4" fillId="0" borderId="2" xfId="0" applyNumberFormat="1" applyFont="1" applyBorder="1"/>
    <xf numFmtId="0" fontId="4" fillId="0" borderId="17" xfId="0" applyFont="1" applyFill="1" applyBorder="1" applyAlignment="1">
      <alignment horizontal="left" indent="1"/>
    </xf>
    <xf numFmtId="0" fontId="4" fillId="0" borderId="16" xfId="0" applyFont="1" applyFill="1" applyBorder="1" applyAlignment="1">
      <alignment horizontal="left" indent="1"/>
    </xf>
    <xf numFmtId="166" fontId="4" fillId="0" borderId="2" xfId="10" applyNumberFormat="1" applyFont="1" applyBorder="1"/>
    <xf numFmtId="166" fontId="4" fillId="0" borderId="2" xfId="10" applyNumberFormat="1" applyFont="1" applyFill="1" applyBorder="1"/>
    <xf numFmtId="0" fontId="3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/>
    </xf>
    <xf numFmtId="164" fontId="4" fillId="0" borderId="2" xfId="0" applyNumberFormat="1" applyFont="1" applyBorder="1" applyAlignment="1">
      <alignment horizontal="right"/>
    </xf>
    <xf numFmtId="164" fontId="4" fillId="0" borderId="2" xfId="0" applyNumberFormat="1" applyFont="1" applyFill="1" applyBorder="1"/>
    <xf numFmtId="0" fontId="32" fillId="0" borderId="10" xfId="2" applyFont="1" applyFill="1" applyBorder="1" applyAlignment="1">
      <alignment horizontal="left" vertical="center"/>
    </xf>
    <xf numFmtId="164" fontId="3" fillId="0" borderId="7" xfId="0" applyNumberFormat="1" applyFont="1" applyBorder="1"/>
    <xf numFmtId="164" fontId="3" fillId="0" borderId="7" xfId="0" applyNumberFormat="1" applyFont="1" applyFill="1" applyBorder="1"/>
    <xf numFmtId="0" fontId="3" fillId="0" borderId="0" xfId="0" applyFont="1" applyBorder="1"/>
    <xf numFmtId="0" fontId="3" fillId="0" borderId="10" xfId="0" applyFont="1" applyBorder="1"/>
    <xf numFmtId="0" fontId="4" fillId="0" borderId="0" xfId="0" applyFont="1" applyAlignment="1">
      <alignment horizontal="centerContinuous"/>
    </xf>
    <xf numFmtId="164" fontId="3" fillId="0" borderId="7" xfId="0" applyNumberFormat="1" applyFont="1" applyBorder="1" applyAlignment="1">
      <alignment horizontal="right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6" fillId="4" borderId="0" xfId="6" applyFont="1" applyFill="1" applyAlignment="1">
      <alignment vertical="center" wrapText="1"/>
    </xf>
    <xf numFmtId="0" fontId="6" fillId="3" borderId="0" xfId="8" applyFont="1" applyFill="1" applyBorder="1" applyAlignment="1">
      <alignment horizontal="left" vertical="center" wrapText="1"/>
    </xf>
    <xf numFmtId="0" fontId="28" fillId="5" borderId="0" xfId="8" applyFont="1" applyFill="1" applyAlignment="1">
      <alignment horizontal="left" vertical="center" wrapText="1"/>
    </xf>
    <xf numFmtId="0" fontId="8" fillId="4" borderId="0" xfId="6" applyFont="1" applyFill="1" applyAlignment="1">
      <alignment vertical="center" wrapText="1"/>
    </xf>
    <xf numFmtId="0" fontId="8" fillId="4" borderId="0" xfId="6" applyFont="1" applyFill="1" applyAlignment="1">
      <alignment vertical="center"/>
    </xf>
    <xf numFmtId="0" fontId="17" fillId="3" borderId="0" xfId="6" applyFont="1" applyFill="1" applyAlignment="1">
      <alignment horizontal="left"/>
    </xf>
    <xf numFmtId="0" fontId="6" fillId="3" borderId="0" xfId="6" applyFont="1" applyFill="1" applyAlignment="1">
      <alignment horizontal="left" vertical="center" wrapText="1"/>
    </xf>
    <xf numFmtId="0" fontId="17" fillId="3" borderId="0" xfId="6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2" xfId="0" applyBorder="1" applyAlignment="1">
      <alignment horizontal="center" vertical="center" wrapText="1"/>
    </xf>
    <xf numFmtId="49" fontId="6" fillId="0" borderId="2" xfId="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49" fontId="6" fillId="0" borderId="1" xfId="3" applyNumberFormat="1" applyFont="1" applyFill="1" applyBorder="1" applyAlignment="1">
      <alignment horizontal="center" vertical="center"/>
    </xf>
    <xf numFmtId="49" fontId="6" fillId="0" borderId="6" xfId="3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</cellXfs>
  <cellStyles count="15">
    <cellStyle name="Hypertextové prepojenie" xfId="11"/>
    <cellStyle name="Hypertextové prepojenie 2" xfId="7"/>
    <cellStyle name="Normálna" xfId="0" builtinId="0"/>
    <cellStyle name="Normálna 2" xfId="6"/>
    <cellStyle name="Normálna 3" xfId="8"/>
    <cellStyle name="Normálna 3 2" xfId="4"/>
    <cellStyle name="Normálne 2" xfId="3"/>
    <cellStyle name="Normálne 2 4" xfId="5"/>
    <cellStyle name="Normálne 3" xfId="12"/>
    <cellStyle name="Normálne 6" xfId="9"/>
    <cellStyle name="normálne_E_02-01_vyk_09" xfId="13"/>
    <cellStyle name="Normálne_E01E02-2013-T512 2" xfId="2"/>
    <cellStyle name="Normálne_Hárok3" xfId="1"/>
    <cellStyle name="Percentá" xfId="10" builtinId="5"/>
    <cellStyle name="Špatně 2" xfId="14"/>
  </cellStyles>
  <dxfs count="0"/>
  <tableStyles count="0" defaultTableStyle="TableStyleMedium2" defaultPivotStyle="PivotStyleLight16"/>
  <colors>
    <mruColors>
      <color rgb="FFFFFFFF"/>
      <color rgb="FFC9E7FF"/>
      <color rgb="FFF09D24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1 Štruktúra nákladov podľa formy poskytovanej zdravotnej starostlivosti v roku 2022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4507181069958847"/>
          <c:y val="0.13301829883999763"/>
          <c:w val="0.80728353909465023"/>
          <c:h val="0.53624771037662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'G1'!$J$14</c:f>
              <c:strCache>
                <c:ptCount val="1"/>
                <c:pt idx="0">
                  <c:v>mzdy a odvody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'G1'!$K$14:$M$14</c:f>
              <c:numCache>
                <c:formatCode>0.0%</c:formatCode>
                <c:ptCount val="3"/>
                <c:pt idx="0">
                  <c:v>9.2774192276797091E-2</c:v>
                </c:pt>
                <c:pt idx="1">
                  <c:v>0.51140634251627271</c:v>
                </c:pt>
                <c:pt idx="2">
                  <c:v>0.45440276241995897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0-4B4E-8782-F09710AE6C66}"/>
            </c:ext>
          </c:extLst>
        </c:ser>
        <c:ser>
          <c:idx val="1"/>
          <c:order val="1"/>
          <c:tx>
            <c:strRef>
              <c:f>'G1'!$J$15</c:f>
              <c:strCache>
                <c:ptCount val="1"/>
                <c:pt idx="0">
                  <c:v>lieky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3.8878865483240998E-3"/>
                  <c:y val="-5.528300756625034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881-4066-8EA0-A1639F1DCA6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'G1'!$K$15:$M$15</c:f>
              <c:numCache>
                <c:formatCode>0.0%</c:formatCode>
                <c:ptCount val="3"/>
                <c:pt idx="0">
                  <c:v>0.59568814012307403</c:v>
                </c:pt>
                <c:pt idx="1">
                  <c:v>0.10483092162898347</c:v>
                </c:pt>
                <c:pt idx="2">
                  <c:v>2.9773386669961439E-2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70-4B4E-8782-F09710AE6C66}"/>
            </c:ext>
          </c:extLst>
        </c:ser>
        <c:ser>
          <c:idx val="2"/>
          <c:order val="2"/>
          <c:tx>
            <c:strRef>
              <c:f>'G1'!$J$16</c:f>
              <c:strCache>
                <c:ptCount val="1"/>
                <c:pt idx="0">
                  <c:v>zdravotnícke pomôcky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'G1'!$K$16:$M$16</c:f>
              <c:numCache>
                <c:formatCode>0.0%</c:formatCode>
                <c:ptCount val="3"/>
                <c:pt idx="0">
                  <c:v>8.1384587669970643E-2</c:v>
                </c:pt>
                <c:pt idx="1">
                  <c:v>0.10319223762831069</c:v>
                </c:pt>
                <c:pt idx="2">
                  <c:v>6.6440494568233602E-2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70-4B4E-8782-F09710AE6C66}"/>
            </c:ext>
          </c:extLst>
        </c:ser>
        <c:ser>
          <c:idx val="3"/>
          <c:order val="3"/>
          <c:tx>
            <c:strRef>
              <c:f>'G1'!$J$17</c:f>
              <c:strCache>
                <c:ptCount val="1"/>
                <c:pt idx="0">
                  <c:v>doplnkový sortiment lekárni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5.913348974831630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85F9-47E7-8F39-5E31DC1973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81-4066-8EA0-A1639F1DCA6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'G1'!$K$17:$M$17</c:f>
              <c:numCache>
                <c:formatCode>0.0%</c:formatCode>
                <c:ptCount val="3"/>
                <c:pt idx="0">
                  <c:v>0.11927505874272117</c:v>
                </c:pt>
                <c:pt idx="1">
                  <c:v>5.7452063625373683E-3</c:v>
                </c:pt>
                <c:pt idx="2">
                  <c:v>3.8954876234880602E-4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9-47E7-8F39-5E31DC1973FF}"/>
            </c:ext>
          </c:extLst>
        </c:ser>
        <c:ser>
          <c:idx val="5"/>
          <c:order val="4"/>
          <c:tx>
            <c:strRef>
              <c:f>'G1'!$J$18</c:f>
              <c:strCache>
                <c:ptCount val="1"/>
                <c:pt idx="0">
                  <c:v>odpisy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4037435287510585E-3"/>
                  <c:y val="-5.60212008141944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2DC-40A0-B35B-3463C9145BBD}"/>
                </c:ext>
              </c:extLst>
            </c:dLbl>
            <c:dLbl>
              <c:idx val="1"/>
              <c:layout>
                <c:manualLayout>
                  <c:x val="2.5989509838611809E-3"/>
                  <c:y val="6.643418112153091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2DC-40A0-B35B-3463C9145BB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'G1'!$K$18:$M$18</c:f>
              <c:numCache>
                <c:formatCode>0.0%</c:formatCode>
                <c:ptCount val="3"/>
                <c:pt idx="0">
                  <c:v>9.4243651706407798E-3</c:v>
                </c:pt>
                <c:pt idx="1">
                  <c:v>3.4316375824724542E-2</c:v>
                </c:pt>
                <c:pt idx="2">
                  <c:v>6.3733862036412486E-2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C-40A0-B35B-3463C9145BBD}"/>
            </c:ext>
          </c:extLst>
        </c:ser>
        <c:ser>
          <c:idx val="4"/>
          <c:order val="5"/>
          <c:tx>
            <c:strRef>
              <c:f>'G1'!$J$19</c:f>
              <c:strCache>
                <c:ptCount val="1"/>
                <c:pt idx="0">
                  <c:v>ostatné náklady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'G1'!$K$19:$M$19</c:f>
              <c:numCache>
                <c:formatCode>0.0%</c:formatCode>
                <c:ptCount val="3"/>
                <c:pt idx="0">
                  <c:v>0.10145365601679583</c:v>
                </c:pt>
                <c:pt idx="1">
                  <c:v>0.24050891603917135</c:v>
                </c:pt>
                <c:pt idx="2">
                  <c:v>0.38525994554308246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DC-40A0-B35B-3463C9145B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1103920"/>
        <c:axId val="830313968"/>
      </c:barChart>
      <c:catAx>
        <c:axId val="55110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13968"/>
        <c:crossesAt val="0"/>
        <c:auto val="1"/>
        <c:lblAlgn val="ctr"/>
        <c:lblOffset val="100"/>
        <c:noMultiLvlLbl val="0"/>
      </c:catAx>
      <c:valAx>
        <c:axId val="83031396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5511039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951666666666666"/>
          <c:y val="0.76260740740740729"/>
          <c:w val="0.89048340620893163"/>
          <c:h val="4.6203767192945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2 Štruktúra výnosov podľa formy poskytovanej zdravotnej starostlivosti v roku 2022</a:t>
            </a:r>
          </a:p>
        </c:rich>
      </c:tx>
      <c:layout>
        <c:manualLayout>
          <c:xMode val="edge"/>
          <c:yMode val="edge"/>
          <c:x val="0.15602201646090536"/>
          <c:y val="1.8446309474460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8272345679012345"/>
          <c:y val="0.10948073493582863"/>
          <c:w val="0.77039670781892999"/>
          <c:h val="0.6438460279046134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'G2'!$H$7</c:f>
              <c:strCache>
                <c:ptCount val="1"/>
                <c:pt idx="0">
                  <c:v>tržby od zdravotných poisťovní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'G2'!$I$4:$K$5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'G2'!$I$12:$K$12</c:f>
              <c:numCache>
                <c:formatCode>0.0%</c:formatCode>
                <c:ptCount val="3"/>
                <c:pt idx="0">
                  <c:v>0.48512755216090708</c:v>
                </c:pt>
                <c:pt idx="1">
                  <c:v>0.72725712061725467</c:v>
                </c:pt>
                <c:pt idx="2">
                  <c:v>0.75910987478733849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0-4B2A-805B-13641AA53450}"/>
            </c:ext>
          </c:extLst>
        </c:ser>
        <c:ser>
          <c:idx val="1"/>
          <c:order val="1"/>
          <c:tx>
            <c:strRef>
              <c:f>'G2'!$H$13</c:f>
              <c:strCache>
                <c:ptCount val="1"/>
                <c:pt idx="0">
                  <c:v>tržby od obyvateľstva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'G2'!$I$4:$K$5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'G2'!$I$13:$K$13</c:f>
              <c:numCache>
                <c:formatCode>0.0%</c:formatCode>
                <c:ptCount val="3"/>
                <c:pt idx="0">
                  <c:v>0.4285869782950873</c:v>
                </c:pt>
                <c:pt idx="1">
                  <c:v>4.0728003475495121E-2</c:v>
                </c:pt>
                <c:pt idx="2">
                  <c:v>0.17155397703571096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80-4B2A-805B-13641AA53450}"/>
            </c:ext>
          </c:extLst>
        </c:ser>
        <c:ser>
          <c:idx val="2"/>
          <c:order val="2"/>
          <c:tx>
            <c:strRef>
              <c:f>'G2'!$H$14</c:f>
              <c:strCache>
                <c:ptCount val="1"/>
                <c:pt idx="0">
                  <c:v>prevádzkové dotácie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80-4B2A-805B-13641AA53450}"/>
                </c:ext>
              </c:extLst>
            </c:dLbl>
            <c:dLbl>
              <c:idx val="2"/>
              <c:layout>
                <c:manualLayout>
                  <c:x val="0"/>
                  <c:y val="-6.80888810905918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380-4B2A-805B-13641AA534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'G2'!$I$4:$K$5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'G2'!$I$14:$K$14</c:f>
              <c:numCache>
                <c:formatCode>0.0%</c:formatCode>
                <c:ptCount val="3"/>
                <c:pt idx="0">
                  <c:v>7.7930345890652486E-5</c:v>
                </c:pt>
                <c:pt idx="1">
                  <c:v>8.1125658052124183E-2</c:v>
                </c:pt>
                <c:pt idx="2">
                  <c:v>5.6307892596613191E-3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80-4B2A-805B-13641AA53450}"/>
            </c:ext>
          </c:extLst>
        </c:ser>
        <c:ser>
          <c:idx val="3"/>
          <c:order val="3"/>
          <c:tx>
            <c:strRef>
              <c:f>'G2'!$H$15</c:f>
              <c:strCache>
                <c:ptCount val="1"/>
                <c:pt idx="0">
                  <c:v>ostatné výnosy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'G2'!$I$4:$K$5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'G2'!$I$15:$K$15</c:f>
              <c:numCache>
                <c:formatCode>0.0%</c:formatCode>
                <c:ptCount val="3"/>
                <c:pt idx="0">
                  <c:v>8.6207539198112915E-2</c:v>
                </c:pt>
                <c:pt idx="1">
                  <c:v>0.15088921785512593</c:v>
                </c:pt>
                <c:pt idx="2">
                  <c:v>6.3705358917289331E-2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80-4B2A-805B-13641AA53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overlap val="100"/>
        <c:axId val="830309616"/>
        <c:axId val="830308528"/>
      </c:barChart>
      <c:catAx>
        <c:axId val="83030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8528"/>
        <c:crosses val="autoZero"/>
        <c:auto val="1"/>
        <c:lblAlgn val="ctr"/>
        <c:lblOffset val="100"/>
        <c:noMultiLvlLbl val="0"/>
      </c:catAx>
      <c:valAx>
        <c:axId val="83030852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961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6707818930042"/>
          <c:y val="0.84923700544645442"/>
          <c:w val="0.81713292181069963"/>
          <c:h val="0.12003644944883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3 Štruktúra nákladov v zariadeniach ústavnej zdravotnej starostlivosti v roku 2022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243193026856396"/>
          <c:y val="0.13381274524064074"/>
          <c:w val="0.77992347926853334"/>
          <c:h val="0.58323136428898859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'G3'!$K$8</c:f>
              <c:strCache>
                <c:ptCount val="1"/>
                <c:pt idx="0">
                  <c:v>mzdy a odvody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glow>
                <a:schemeClr val="accent1">
                  <a:alpha val="40000"/>
                </a:schemeClr>
              </a:glow>
            </a:effectLst>
          </c:spPr>
          <c:invertIfNegative val="0"/>
          <c:dLbls>
            <c:dLbl>
              <c:idx val="3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4-27CD-4992-B51B-98B49FE619B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'G3'!$L$15:$O$15</c:f>
              <c:numCache>
                <c:formatCode>0.0%</c:formatCode>
                <c:ptCount val="4"/>
                <c:pt idx="0">
                  <c:v>0.46192341384971358</c:v>
                </c:pt>
                <c:pt idx="1">
                  <c:v>0.66810587886138717</c:v>
                </c:pt>
                <c:pt idx="2">
                  <c:v>0.49808098272838419</c:v>
                </c:pt>
                <c:pt idx="3">
                  <c:v>0.52657241837586832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8-4AEB-945B-97776E20CCAF}"/>
            </c:ext>
          </c:extLst>
        </c:ser>
        <c:ser>
          <c:idx val="1"/>
          <c:order val="1"/>
          <c:tx>
            <c:strRef>
              <c:f>'G3'!$K$9</c:f>
              <c:strCache>
                <c:ptCount val="1"/>
                <c:pt idx="0">
                  <c:v>lieky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7683664108099299E-3"/>
                  <c:y val="-5.8628411609800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3B8-4AEB-945B-97776E20CCAF}"/>
                </c:ext>
              </c:extLst>
            </c:dLbl>
            <c:dLbl>
              <c:idx val="1"/>
              <c:layout>
                <c:manualLayout>
                  <c:x val="-2.1096882306399852E-3"/>
                  <c:y val="-5.376506650835238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137770883690009E-2"/>
                      <c:h val="5.675086400989993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3B8-4AEB-945B-97776E20CCA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'G3'!$L$16:$O$16</c:f>
              <c:numCache>
                <c:formatCode>0.0%</c:formatCode>
                <c:ptCount val="4"/>
                <c:pt idx="0">
                  <c:v>1.6647509834845274E-2</c:v>
                </c:pt>
                <c:pt idx="1">
                  <c:v>2.6532350145117872E-2</c:v>
                </c:pt>
                <c:pt idx="2">
                  <c:v>0.13218247887957929</c:v>
                </c:pt>
                <c:pt idx="3">
                  <c:v>8.2612504047516452E-2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B8-4AEB-945B-97776E20CCAF}"/>
            </c:ext>
          </c:extLst>
        </c:ser>
        <c:ser>
          <c:idx val="2"/>
          <c:order val="2"/>
          <c:tx>
            <c:strRef>
              <c:f>'G3'!$K$10</c:f>
              <c:strCache>
                <c:ptCount val="1"/>
                <c:pt idx="0">
                  <c:v>zdravotnícke pomôcky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2192880267070193E-3"/>
                  <c:y val="5.22875970761293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63B8-4AEB-945B-97776E20CCAF}"/>
                </c:ext>
              </c:extLst>
            </c:dLbl>
            <c:dLbl>
              <c:idx val="1"/>
              <c:layout>
                <c:manualLayout>
                  <c:x val="4.2192880267070965E-3"/>
                  <c:y val="5.975733218712756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63B8-4AEB-945B-97776E20CCA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'G3'!$L$17:$O$17</c:f>
              <c:numCache>
                <c:formatCode>0.0%</c:formatCode>
                <c:ptCount val="4"/>
                <c:pt idx="0">
                  <c:v>5.813020063845006E-3</c:v>
                </c:pt>
                <c:pt idx="1">
                  <c:v>5.6992549380817494E-3</c:v>
                </c:pt>
                <c:pt idx="2">
                  <c:v>0.10123200468214195</c:v>
                </c:pt>
                <c:pt idx="3">
                  <c:v>0.1136553134966682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B8-4AEB-945B-97776E20CCAF}"/>
            </c:ext>
          </c:extLst>
        </c:ser>
        <c:ser>
          <c:idx val="3"/>
          <c:order val="3"/>
          <c:tx>
            <c:strRef>
              <c:f>'G3'!$K$18</c:f>
              <c:strCache>
                <c:ptCount val="1"/>
                <c:pt idx="0">
                  <c:v>stravovanie pacientov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2.7006930701345597E-3"/>
                  <c:y val="2.0204018272471812E-4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0612292498002682E-2"/>
                      <c:h val="3.41028154702046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7CD-4992-B51B-98B49FE619B4}"/>
                </c:ext>
              </c:extLst>
            </c:dLbl>
            <c:dLbl>
              <c:idx val="2"/>
              <c:layout>
                <c:manualLayout>
                  <c:x val="-3.2120974331432345E-3"/>
                  <c:y val="-6.02510798836206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7CD-4992-B51B-98B49FE619B4}"/>
                </c:ext>
              </c:extLst>
            </c:dLbl>
            <c:dLbl>
              <c:idx val="3"/>
              <c:layout>
                <c:manualLayout>
                  <c:x val="5.2922782188163965E-3"/>
                  <c:y val="-5.68656816269853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7CD-4992-B51B-98B49FE619B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'G3'!$L$18:$O$18</c:f>
              <c:numCache>
                <c:formatCode>0.0%</c:formatCode>
                <c:ptCount val="4"/>
                <c:pt idx="0">
                  <c:v>8.3425630621330849E-2</c:v>
                </c:pt>
                <c:pt idx="1">
                  <c:v>3.6529748718221962E-2</c:v>
                </c:pt>
                <c:pt idx="2">
                  <c:v>6.9050230263612948E-3</c:v>
                </c:pt>
                <c:pt idx="3">
                  <c:v>6.929093051882486E-3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D-4992-B51B-98B49FE619B4}"/>
            </c:ext>
          </c:extLst>
        </c:ser>
        <c:ser>
          <c:idx val="7"/>
          <c:order val="4"/>
          <c:tx>
            <c:strRef>
              <c:f>'G3'!$K$19</c:f>
              <c:strCache>
                <c:ptCount val="1"/>
                <c:pt idx="0">
                  <c:v>spotreba energie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4.976249835431107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63B8-4AEB-945B-97776E20CCAF}"/>
                </c:ext>
              </c:extLst>
            </c:dLbl>
            <c:dLbl>
              <c:idx val="2"/>
              <c:layout>
                <c:manualLayout>
                  <c:x val="2.171732107420598E-3"/>
                  <c:y val="2.30627281877260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63B8-4AEB-945B-97776E20CCAF}"/>
                </c:ext>
              </c:extLst>
            </c:dLbl>
            <c:dLbl>
              <c:idx val="3"/>
              <c:layout>
                <c:manualLayout>
                  <c:x val="2.9192529433631985E-3"/>
                  <c:y val="-3.58885774837326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63B8-4AEB-945B-97776E20CCA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'G3'!$L$19:$O$19</c:f>
              <c:numCache>
                <c:formatCode>0.0%</c:formatCode>
                <c:ptCount val="4"/>
                <c:pt idx="0">
                  <c:v>8.8120837904141602E-2</c:v>
                </c:pt>
                <c:pt idx="1">
                  <c:v>4.7033872298577507E-2</c:v>
                </c:pt>
                <c:pt idx="2">
                  <c:v>2.5779211087807393E-2</c:v>
                </c:pt>
                <c:pt idx="3">
                  <c:v>2.7031020707723351E-2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3B8-4AEB-945B-97776E20CCAF}"/>
            </c:ext>
          </c:extLst>
        </c:ser>
        <c:ser>
          <c:idx val="9"/>
          <c:order val="5"/>
          <c:tx>
            <c:strRef>
              <c:f>'G3'!$K$13</c:f>
              <c:strCache>
                <c:ptCount val="1"/>
                <c:pt idx="0">
                  <c:v>ostatné náklady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'G3'!$L$20:$O$20</c:f>
              <c:numCache>
                <c:formatCode>0.0%</c:formatCode>
                <c:ptCount val="4"/>
                <c:pt idx="0">
                  <c:v>0.344069587726124</c:v>
                </c:pt>
                <c:pt idx="1">
                  <c:v>0.21609889503861385</c:v>
                </c:pt>
                <c:pt idx="2">
                  <c:v>0.23582029959572581</c:v>
                </c:pt>
                <c:pt idx="3">
                  <c:v>0.24319965032034113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4-4029-AFE2-BF5A62675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100"/>
        <c:axId val="830305808"/>
        <c:axId val="830303088"/>
      </c:barChart>
      <c:catAx>
        <c:axId val="830305808"/>
        <c:scaling>
          <c:orientation val="minMax"/>
        </c:scaling>
        <c:delete val="0"/>
        <c:axPos val="l"/>
        <c:numFmt formatCode="000\ 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3088"/>
        <c:crosses val="autoZero"/>
        <c:auto val="1"/>
        <c:lblAlgn val="ctr"/>
        <c:lblOffset val="100"/>
        <c:noMultiLvlLbl val="0"/>
      </c:catAx>
      <c:valAx>
        <c:axId val="8303030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5808"/>
        <c:crosses val="autoZero"/>
        <c:crossBetween val="between"/>
        <c:majorUnit val="0.1"/>
      </c:valAx>
      <c:spPr>
        <a:noFill/>
        <a:ln>
          <a:noFill/>
        </a:ln>
        <a:effectLst>
          <a:glow>
            <a:schemeClr val="accent1"/>
          </a:glow>
          <a:outerShdw blurRad="50800" dist="50800" dir="5400000" sx="1000" sy="1000" algn="ctr" rotWithShape="0">
            <a:srgbClr val="000000"/>
          </a:outerShdw>
          <a:softEdge rad="0"/>
        </a:effectLst>
      </c:spPr>
    </c:plotArea>
    <c:legend>
      <c:legendPos val="b"/>
      <c:layout>
        <c:manualLayout>
          <c:xMode val="edge"/>
          <c:yMode val="edge"/>
          <c:x val="0.13576399176954732"/>
          <c:y val="0.81074879151864265"/>
          <c:w val="0.79632953901902315"/>
          <c:h val="4.985923299834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4 Štruktúra výnosov v zariadeniach ústavnej zdravotnej starostlivosti v roku 2022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22236152263374487"/>
          <c:y val="0.11924465043190895"/>
          <c:w val="0.73522016460905348"/>
          <c:h val="0.6438460279046134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'G4'!$J$8</c:f>
              <c:strCache>
                <c:ptCount val="1"/>
                <c:pt idx="0">
                  <c:v>tržby od zdravotných poisťovní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621-4C8D-A850-50FEF77FA3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'G4'!$K$5:$N$6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'G4'!$K$13:$N$13</c:f>
              <c:numCache>
                <c:formatCode>0.0%</c:formatCode>
                <c:ptCount val="4"/>
                <c:pt idx="0">
                  <c:v>0.41446984445871321</c:v>
                </c:pt>
                <c:pt idx="1">
                  <c:v>0.81119833972504218</c:v>
                </c:pt>
                <c:pt idx="2">
                  <c:v>0.65579354498528963</c:v>
                </c:pt>
                <c:pt idx="3">
                  <c:v>0.82129181043338573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F-401A-9E49-27ABF2F55EB6}"/>
            </c:ext>
          </c:extLst>
        </c:ser>
        <c:ser>
          <c:idx val="1"/>
          <c:order val="1"/>
          <c:tx>
            <c:strRef>
              <c:f>'G4'!$J$14</c:f>
              <c:strCache>
                <c:ptCount val="1"/>
                <c:pt idx="0">
                  <c:v>tržby od obyvateľstva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A83-4109-86D6-27801AEE96D5}"/>
                </c:ext>
              </c:extLst>
            </c:dLbl>
            <c:dLbl>
              <c:idx val="1"/>
              <c:layout>
                <c:manualLayout>
                  <c:x val="-8.0906148867313909E-3"/>
                  <c:y val="-5.73858140911996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54F-401A-9E49-27ABF2F55EB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54F-401A-9E49-27ABF2F55EB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54F-401A-9E49-27ABF2F55E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'G4'!$K$5:$N$6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'G4'!$K$14:$N$14</c:f>
              <c:numCache>
                <c:formatCode>0.0%</c:formatCode>
                <c:ptCount val="4"/>
                <c:pt idx="0">
                  <c:v>0.43648894433585222</c:v>
                </c:pt>
                <c:pt idx="1">
                  <c:v>1.1782160263915514E-2</c:v>
                </c:pt>
                <c:pt idx="2">
                  <c:v>2.8610414387202621E-2</c:v>
                </c:pt>
                <c:pt idx="3">
                  <c:v>2.4588165105199643E-2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4F-401A-9E49-27ABF2F55EB6}"/>
            </c:ext>
          </c:extLst>
        </c:ser>
        <c:ser>
          <c:idx val="2"/>
          <c:order val="2"/>
          <c:tx>
            <c:strRef>
              <c:f>'G4'!$J$15</c:f>
              <c:strCache>
                <c:ptCount val="1"/>
                <c:pt idx="0">
                  <c:v>prevádzkové dotácie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618122977346397E-3"/>
                  <c:y val="6.0255104795759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854F-401A-9E49-27ABF2F55EB6}"/>
                </c:ext>
              </c:extLst>
            </c:dLbl>
            <c:dLbl>
              <c:idx val="1"/>
              <c:layout>
                <c:manualLayout>
                  <c:x val="6.4724919093851136E-3"/>
                  <c:y val="6.02551047957595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854F-401A-9E49-27ABF2F55EB6}"/>
                </c:ext>
              </c:extLst>
            </c:dLbl>
            <c:dLbl>
              <c:idx val="3"/>
              <c:layout>
                <c:manualLayout>
                  <c:x val="8.0906148867312729E-3"/>
                  <c:y val="-6.02551047957595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854F-401A-9E49-27ABF2F55E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'G4'!$K$5:$N$6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'G4'!$K$15:$N$15</c:f>
              <c:numCache>
                <c:formatCode>0.0%</c:formatCode>
                <c:ptCount val="4"/>
                <c:pt idx="0">
                  <c:v>1.2630527699431265E-2</c:v>
                </c:pt>
                <c:pt idx="1">
                  <c:v>1.3273676154691194E-2</c:v>
                </c:pt>
                <c:pt idx="2">
                  <c:v>0.16068972089671632</c:v>
                </c:pt>
                <c:pt idx="3">
                  <c:v>6.4835694902023733E-3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4F-401A-9E49-27ABF2F55EB6}"/>
            </c:ext>
          </c:extLst>
        </c:ser>
        <c:ser>
          <c:idx val="3"/>
          <c:order val="3"/>
          <c:tx>
            <c:strRef>
              <c:f>'G4'!$J$16</c:f>
              <c:strCache>
                <c:ptCount val="1"/>
                <c:pt idx="0">
                  <c:v>ostatné výnosy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'G4'!$K$5:$N$6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'G4'!$K$16:$N$16</c:f>
              <c:numCache>
                <c:formatCode>0.0%</c:formatCode>
                <c:ptCount val="4"/>
                <c:pt idx="0">
                  <c:v>0.13641068350600336</c:v>
                </c:pt>
                <c:pt idx="1">
                  <c:v>0.16374582385635103</c:v>
                </c:pt>
                <c:pt idx="2">
                  <c:v>0.15490631973079155</c:v>
                </c:pt>
                <c:pt idx="3">
                  <c:v>0.14763645497121214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4F-401A-9E49-27ABF2F55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30302000"/>
        <c:axId val="830316144"/>
      </c:barChart>
      <c:catAx>
        <c:axId val="83030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16144"/>
        <c:crosses val="autoZero"/>
        <c:auto val="1"/>
        <c:lblAlgn val="ctr"/>
        <c:lblOffset val="100"/>
        <c:noMultiLvlLbl val="0"/>
      </c:catAx>
      <c:valAx>
        <c:axId val="83031614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20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783216783216783"/>
          <c:y val="0.8446320987654321"/>
          <c:w val="0.76946386946386947"/>
          <c:h val="0.127957098765432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3</xdr:row>
      <xdr:rowOff>2163</xdr:rowOff>
    </xdr:from>
    <xdr:to>
      <xdr:col>8</xdr:col>
      <xdr:colOff>99060</xdr:colOff>
      <xdr:row>25</xdr:row>
      <xdr:rowOff>85725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11340</xdr:rowOff>
    </xdr:from>
    <xdr:to>
      <xdr:col>5</xdr:col>
      <xdr:colOff>594360</xdr:colOff>
      <xdr:row>25</xdr:row>
      <xdr:rowOff>137160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291292</xdr:colOff>
      <xdr:row>3</xdr:row>
      <xdr:rowOff>13334</xdr:rowOff>
    </xdr:from>
    <xdr:to>
      <xdr:col>9</xdr:col>
      <xdr:colOff>411480</xdr:colOff>
      <xdr:row>22</xdr:row>
      <xdr:rowOff>106680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624840</xdr:colOff>
      <xdr:row>2</xdr:row>
      <xdr:rowOff>161059</xdr:rowOff>
    </xdr:from>
    <xdr:to>
      <xdr:col>8</xdr:col>
      <xdr:colOff>998220</xdr:colOff>
      <xdr:row>27</xdr:row>
      <xdr:rowOff>76200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Rocenka_tema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showGridLines="0" tabSelected="1" workbookViewId="0">
      <selection sqref="A1:C1"/>
    </sheetView>
  </sheetViews>
  <sheetFormatPr defaultColWidth="9" defaultRowHeight="15" customHeight="1" x14ac:dyDescent="0.2"/>
  <cols>
    <col min="1" max="1" width="8.09765625" style="3" customWidth="1"/>
    <col min="2" max="2" width="92.5" style="3" customWidth="1"/>
    <col min="3" max="16384" width="9" style="3"/>
  </cols>
  <sheetData>
    <row r="1" spans="1:3" ht="15" customHeight="1" x14ac:dyDescent="0.2">
      <c r="A1" s="126" t="s">
        <v>127</v>
      </c>
      <c r="B1" s="127"/>
      <c r="C1" s="128"/>
    </row>
    <row r="2" spans="1:3" ht="15" customHeight="1" x14ac:dyDescent="0.2">
      <c r="A2" s="94"/>
      <c r="B2" s="94"/>
      <c r="C2" s="95"/>
    </row>
    <row r="3" spans="1:3" ht="15" customHeight="1" x14ac:dyDescent="0.2">
      <c r="A3" s="96"/>
      <c r="B3" s="97" t="s">
        <v>104</v>
      </c>
      <c r="C3" s="97" t="s">
        <v>105</v>
      </c>
    </row>
    <row r="4" spans="1:3" ht="15" customHeight="1" x14ac:dyDescent="0.2">
      <c r="A4" s="98" t="s">
        <v>128</v>
      </c>
      <c r="B4" s="98" t="s">
        <v>75</v>
      </c>
      <c r="C4" s="99" t="s">
        <v>107</v>
      </c>
    </row>
    <row r="5" spans="1:3" ht="15" customHeight="1" x14ac:dyDescent="0.2">
      <c r="A5" s="96" t="s">
        <v>106</v>
      </c>
      <c r="B5" s="96" t="s">
        <v>129</v>
      </c>
      <c r="C5" s="100" t="s">
        <v>108</v>
      </c>
    </row>
    <row r="6" spans="1:3" ht="15" customHeight="1" x14ac:dyDescent="0.2">
      <c r="A6" s="98" t="s">
        <v>106</v>
      </c>
      <c r="B6" s="98" t="s">
        <v>130</v>
      </c>
      <c r="C6" s="99" t="s">
        <v>110</v>
      </c>
    </row>
    <row r="7" spans="1:3" ht="15" customHeight="1" x14ac:dyDescent="0.2">
      <c r="A7" s="96" t="s">
        <v>106</v>
      </c>
      <c r="B7" s="96" t="s">
        <v>131</v>
      </c>
      <c r="C7" s="100" t="s">
        <v>111</v>
      </c>
    </row>
    <row r="8" spans="1:3" ht="15" customHeight="1" x14ac:dyDescent="0.2">
      <c r="A8" s="98" t="s">
        <v>109</v>
      </c>
      <c r="B8" s="98" t="s">
        <v>141</v>
      </c>
      <c r="C8" s="99" t="s">
        <v>144</v>
      </c>
    </row>
    <row r="9" spans="1:3" ht="15" customHeight="1" x14ac:dyDescent="0.2">
      <c r="A9" s="96" t="s">
        <v>109</v>
      </c>
      <c r="B9" s="96" t="s">
        <v>132</v>
      </c>
      <c r="C9" s="100" t="s">
        <v>145</v>
      </c>
    </row>
    <row r="10" spans="1:3" ht="15" customHeight="1" x14ac:dyDescent="0.2">
      <c r="A10" s="98" t="s">
        <v>109</v>
      </c>
      <c r="B10" s="98" t="s">
        <v>133</v>
      </c>
      <c r="C10" s="99" t="s">
        <v>146</v>
      </c>
    </row>
    <row r="11" spans="1:3" ht="15" customHeight="1" x14ac:dyDescent="0.2">
      <c r="A11" s="96" t="s">
        <v>109</v>
      </c>
      <c r="B11" s="96" t="s">
        <v>134</v>
      </c>
      <c r="C11" s="100" t="s">
        <v>147</v>
      </c>
    </row>
  </sheetData>
  <mergeCells count="1">
    <mergeCell ref="A1:C1"/>
  </mergeCells>
  <hyperlinks>
    <hyperlink ref="C4" location="Meta!A1" display="Meta"/>
    <hyperlink ref="C5" location="'T1'!A1" display="T1"/>
    <hyperlink ref="C6" location="'T2'!A1" display="T2"/>
    <hyperlink ref="C7" location="'T3'!A1" display="T3"/>
    <hyperlink ref="C9" location="'G2'!A1" display="T5"/>
    <hyperlink ref="C10" location="'G3'!A1" display="G3"/>
    <hyperlink ref="C11" location="'G4'!A1" display="G4"/>
    <hyperlink ref="C8" location="'G1'!A1" display="G1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showGridLines="0" zoomScaleNormal="100" workbookViewId="0">
      <selection sqref="A1:C1"/>
    </sheetView>
  </sheetViews>
  <sheetFormatPr defaultColWidth="9" defaultRowHeight="11.4" x14ac:dyDescent="0.2"/>
  <cols>
    <col min="1" max="1" width="12.09765625" style="34" customWidth="1"/>
    <col min="2" max="2" width="10.5" style="34" customWidth="1"/>
    <col min="3" max="3" width="61.5" style="34" customWidth="1"/>
    <col min="4" max="22" width="9" style="2"/>
    <col min="23" max="23" width="8" style="2" customWidth="1"/>
    <col min="24" max="16384" width="9" style="2"/>
  </cols>
  <sheetData>
    <row r="1" spans="1:23" ht="13.5" customHeight="1" x14ac:dyDescent="0.25">
      <c r="A1" s="132" t="s">
        <v>127</v>
      </c>
      <c r="B1" s="133"/>
      <c r="C1" s="133"/>
      <c r="E1" s="30"/>
      <c r="F1" s="57" t="s">
        <v>123</v>
      </c>
      <c r="W1" s="31"/>
    </row>
    <row r="2" spans="1:23" s="3" customFormat="1" ht="13.5" customHeight="1" x14ac:dyDescent="0.25">
      <c r="A2" s="39"/>
      <c r="B2" s="40"/>
      <c r="C2" s="40"/>
      <c r="E2" s="41"/>
      <c r="W2" s="42"/>
    </row>
    <row r="3" spans="1:23" ht="21.75" customHeight="1" x14ac:dyDescent="0.25">
      <c r="A3" s="134" t="s">
        <v>75</v>
      </c>
      <c r="B3" s="134"/>
      <c r="C3" s="134"/>
      <c r="E3" s="30"/>
      <c r="W3" s="31"/>
    </row>
    <row r="4" spans="1:23" ht="30.75" customHeight="1" x14ac:dyDescent="0.25">
      <c r="A4" s="135" t="s">
        <v>135</v>
      </c>
      <c r="B4" s="135"/>
      <c r="C4" s="135"/>
      <c r="D4" s="48"/>
      <c r="W4" s="31"/>
    </row>
    <row r="5" spans="1:23" ht="45" customHeight="1" x14ac:dyDescent="0.25">
      <c r="A5" s="136" t="s">
        <v>120</v>
      </c>
      <c r="B5" s="135"/>
      <c r="C5" s="135"/>
      <c r="E5" s="30"/>
      <c r="W5" s="31"/>
    </row>
    <row r="6" spans="1:23" ht="103.5" customHeight="1" x14ac:dyDescent="0.25">
      <c r="A6" s="135" t="s">
        <v>142</v>
      </c>
      <c r="B6" s="135"/>
      <c r="C6" s="135"/>
      <c r="E6" s="30"/>
      <c r="W6" s="31"/>
    </row>
    <row r="7" spans="1:23" ht="14.25" customHeight="1" x14ac:dyDescent="0.2">
      <c r="A7" s="33"/>
      <c r="B7" s="33"/>
      <c r="C7" s="33"/>
    </row>
    <row r="8" spans="1:23" ht="33" customHeight="1" x14ac:dyDescent="0.2">
      <c r="A8" s="129" t="s">
        <v>101</v>
      </c>
      <c r="B8" s="129"/>
      <c r="C8" s="129"/>
    </row>
    <row r="9" spans="1:23" ht="40.5" customHeight="1" x14ac:dyDescent="0.2">
      <c r="A9" s="129" t="s">
        <v>103</v>
      </c>
      <c r="B9" s="129"/>
      <c r="C9" s="129"/>
    </row>
    <row r="10" spans="1:23" ht="32.25" customHeight="1" x14ac:dyDescent="0.2">
      <c r="A10" s="129" t="s">
        <v>102</v>
      </c>
      <c r="B10" s="129"/>
      <c r="C10" s="129"/>
    </row>
    <row r="11" spans="1:23" s="3" customFormat="1" ht="13.5" customHeight="1" x14ac:dyDescent="0.2">
      <c r="A11" s="43"/>
      <c r="B11" s="43"/>
      <c r="C11" s="43"/>
    </row>
    <row r="12" spans="1:23" s="3" customFormat="1" ht="13.5" customHeight="1" x14ac:dyDescent="0.2">
      <c r="A12" s="136" t="s">
        <v>112</v>
      </c>
      <c r="B12" s="136"/>
      <c r="C12" s="136"/>
    </row>
    <row r="13" spans="1:23" s="3" customFormat="1" ht="13.5" customHeight="1" x14ac:dyDescent="0.2">
      <c r="A13" s="36" t="s">
        <v>115</v>
      </c>
      <c r="B13" s="47" t="s">
        <v>114</v>
      </c>
      <c r="C13" s="35"/>
    </row>
    <row r="14" spans="1:23" s="3" customFormat="1" ht="13.5" customHeight="1" x14ac:dyDescent="0.2">
      <c r="A14" s="45" t="s">
        <v>100</v>
      </c>
      <c r="B14" s="46" t="s">
        <v>113</v>
      </c>
      <c r="C14" s="45"/>
    </row>
    <row r="15" spans="1:23" s="3" customFormat="1" ht="13.5" customHeight="1" x14ac:dyDescent="0.2">
      <c r="A15" s="45" t="s">
        <v>118</v>
      </c>
      <c r="B15" s="46" t="s">
        <v>119</v>
      </c>
      <c r="C15" s="45"/>
    </row>
    <row r="16" spans="1:23" s="3" customFormat="1" ht="13.5" customHeight="1" x14ac:dyDescent="0.2">
      <c r="A16" s="45" t="s">
        <v>116</v>
      </c>
      <c r="B16" s="46" t="s">
        <v>117</v>
      </c>
      <c r="C16" s="45"/>
    </row>
    <row r="17" spans="1:3" s="3" customFormat="1" ht="12.75" customHeight="1" x14ac:dyDescent="0.2">
      <c r="A17" s="44"/>
    </row>
    <row r="18" spans="1:3" ht="13.5" customHeight="1" x14ac:dyDescent="0.25">
      <c r="A18" s="53" t="s">
        <v>76</v>
      </c>
      <c r="B18" s="54"/>
      <c r="C18" s="54"/>
    </row>
    <row r="19" spans="1:3" ht="13.5" customHeight="1" x14ac:dyDescent="0.2">
      <c r="A19" s="55" t="s">
        <v>77</v>
      </c>
      <c r="B19" s="55" t="s">
        <v>78</v>
      </c>
      <c r="C19" s="55" t="s">
        <v>79</v>
      </c>
    </row>
    <row r="20" spans="1:3" ht="13.5" customHeight="1" x14ac:dyDescent="0.2">
      <c r="A20" s="55" t="s">
        <v>80</v>
      </c>
      <c r="B20" s="55" t="s">
        <v>81</v>
      </c>
      <c r="C20" s="55" t="s">
        <v>82</v>
      </c>
    </row>
    <row r="21" spans="1:3" ht="13.5" customHeight="1" x14ac:dyDescent="0.2">
      <c r="A21" s="55" t="s">
        <v>83</v>
      </c>
      <c r="B21" s="55" t="s">
        <v>84</v>
      </c>
      <c r="C21" s="55" t="s">
        <v>85</v>
      </c>
    </row>
    <row r="22" spans="1:3" ht="13.5" customHeight="1" x14ac:dyDescent="0.2">
      <c r="A22" s="55" t="s">
        <v>86</v>
      </c>
      <c r="B22" s="55" t="s">
        <v>87</v>
      </c>
      <c r="C22" s="55" t="s">
        <v>88</v>
      </c>
    </row>
    <row r="23" spans="1:3" ht="13.5" customHeight="1" x14ac:dyDescent="0.2">
      <c r="A23" s="55" t="s">
        <v>89</v>
      </c>
      <c r="B23" s="55" t="s">
        <v>90</v>
      </c>
      <c r="C23" s="55" t="s">
        <v>91</v>
      </c>
    </row>
    <row r="24" spans="1:3" ht="13.5" customHeight="1" x14ac:dyDescent="0.2">
      <c r="A24" s="56" t="s">
        <v>92</v>
      </c>
      <c r="B24" s="55" t="s">
        <v>93</v>
      </c>
      <c r="C24" s="55" t="s">
        <v>94</v>
      </c>
    </row>
    <row r="25" spans="1:3" ht="13.5" customHeight="1" x14ac:dyDescent="0.2">
      <c r="A25" s="55" t="s">
        <v>95</v>
      </c>
      <c r="B25" s="55"/>
      <c r="C25" s="55" t="s">
        <v>96</v>
      </c>
    </row>
    <row r="26" spans="1:3" ht="13.5" customHeight="1" x14ac:dyDescent="0.2">
      <c r="A26" s="55" t="s">
        <v>97</v>
      </c>
      <c r="B26" s="55"/>
      <c r="C26" s="55" t="s">
        <v>98</v>
      </c>
    </row>
    <row r="27" spans="1:3" ht="13.5" customHeight="1" x14ac:dyDescent="0.2">
      <c r="A27" s="37"/>
      <c r="B27" s="32"/>
      <c r="C27" s="32"/>
    </row>
    <row r="28" spans="1:3" ht="13.5" customHeight="1" x14ac:dyDescent="0.2">
      <c r="A28" s="130" t="s">
        <v>99</v>
      </c>
      <c r="B28" s="130"/>
      <c r="C28" s="130"/>
    </row>
    <row r="29" spans="1:3" ht="12" customHeight="1" x14ac:dyDescent="0.2">
      <c r="A29" s="131" t="s">
        <v>149</v>
      </c>
      <c r="B29" s="131"/>
      <c r="C29" s="131"/>
    </row>
    <row r="30" spans="1:3" ht="12" customHeight="1" x14ac:dyDescent="0.2"/>
    <row r="31" spans="1:3" ht="12" customHeight="1" x14ac:dyDescent="0.2"/>
  </sheetData>
  <mergeCells count="11">
    <mergeCell ref="A8:C8"/>
    <mergeCell ref="A10:C10"/>
    <mergeCell ref="A28:C28"/>
    <mergeCell ref="A29:C29"/>
    <mergeCell ref="A1:C1"/>
    <mergeCell ref="A9:C9"/>
    <mergeCell ref="A3:C3"/>
    <mergeCell ref="A4:C4"/>
    <mergeCell ref="A5:C5"/>
    <mergeCell ref="A6:C6"/>
    <mergeCell ref="A12:C12"/>
  </mergeCells>
  <hyperlinks>
    <hyperlink ref="F1" location="Obsah!A1" display="Naspäť na obsah"/>
  </hyperlinks>
  <pageMargins left="0.7" right="0.7" top="0.75" bottom="0.75" header="0.3" footer="0.3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showGridLines="0" zoomScaleNormal="100" workbookViewId="0"/>
  </sheetViews>
  <sheetFormatPr defaultColWidth="9" defaultRowHeight="13.5" customHeight="1" x14ac:dyDescent="0.2"/>
  <cols>
    <col min="1" max="1" width="27.09765625" style="2" customWidth="1"/>
    <col min="2" max="2" width="13.69921875" style="2" customWidth="1"/>
    <col min="3" max="18" width="12.59765625" style="2" customWidth="1"/>
    <col min="19" max="29" width="14" style="2" customWidth="1"/>
    <col min="30" max="16384" width="9" style="2"/>
  </cols>
  <sheetData>
    <row r="1" spans="1:18" ht="13.5" customHeight="1" x14ac:dyDescent="0.2">
      <c r="A1" s="16" t="s">
        <v>127</v>
      </c>
      <c r="I1" s="83" t="s">
        <v>123</v>
      </c>
      <c r="J1" s="83"/>
    </row>
    <row r="2" spans="1:18" ht="13.5" customHeight="1" x14ac:dyDescent="0.25">
      <c r="A2" s="1" t="s">
        <v>129</v>
      </c>
    </row>
    <row r="4" spans="1:18" ht="13.5" customHeight="1" x14ac:dyDescent="0.2">
      <c r="A4" s="137" t="s">
        <v>29</v>
      </c>
      <c r="B4" s="137" t="s">
        <v>23</v>
      </c>
      <c r="C4" s="138" t="s">
        <v>36</v>
      </c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40"/>
    </row>
    <row r="5" spans="1:18" ht="38.25" customHeight="1" x14ac:dyDescent="0.2">
      <c r="A5" s="137"/>
      <c r="B5" s="137"/>
      <c r="C5" s="51" t="s">
        <v>0</v>
      </c>
      <c r="D5" s="51" t="s">
        <v>1</v>
      </c>
      <c r="E5" s="51" t="s">
        <v>2</v>
      </c>
      <c r="F5" s="51" t="s">
        <v>126</v>
      </c>
      <c r="G5" s="51" t="s">
        <v>3</v>
      </c>
      <c r="H5" s="51" t="s">
        <v>121</v>
      </c>
      <c r="I5" s="51" t="s">
        <v>4</v>
      </c>
      <c r="J5" s="51" t="s">
        <v>136</v>
      </c>
      <c r="K5" s="51" t="s">
        <v>5</v>
      </c>
      <c r="L5" s="51" t="s">
        <v>6</v>
      </c>
      <c r="M5" s="51" t="s">
        <v>7</v>
      </c>
      <c r="N5" s="51" t="s">
        <v>8</v>
      </c>
      <c r="O5" s="51" t="s">
        <v>9</v>
      </c>
      <c r="P5" s="51" t="s">
        <v>124</v>
      </c>
      <c r="Q5" s="51" t="s">
        <v>57</v>
      </c>
      <c r="R5" s="52" t="s">
        <v>10</v>
      </c>
    </row>
    <row r="6" spans="1:18" ht="13.5" customHeight="1" x14ac:dyDescent="0.25">
      <c r="A6" s="63" t="s">
        <v>11</v>
      </c>
      <c r="B6" s="89">
        <v>10043</v>
      </c>
      <c r="C6" s="89">
        <v>20</v>
      </c>
      <c r="D6" s="89">
        <v>5</v>
      </c>
      <c r="E6" s="89">
        <v>36</v>
      </c>
      <c r="F6" s="89">
        <v>3</v>
      </c>
      <c r="G6" s="89">
        <v>4</v>
      </c>
      <c r="H6" s="89">
        <v>7</v>
      </c>
      <c r="I6" s="89">
        <v>6</v>
      </c>
      <c r="J6" s="89">
        <v>3</v>
      </c>
      <c r="K6" s="89">
        <v>12</v>
      </c>
      <c r="L6" s="89">
        <v>1838</v>
      </c>
      <c r="M6" s="89">
        <v>7930</v>
      </c>
      <c r="N6" s="89">
        <v>54</v>
      </c>
      <c r="O6" s="89">
        <v>70</v>
      </c>
      <c r="P6" s="89">
        <v>10</v>
      </c>
      <c r="Q6" s="89">
        <v>19</v>
      </c>
      <c r="R6" s="89">
        <v>9</v>
      </c>
    </row>
    <row r="7" spans="1:18" ht="13.5" customHeight="1" x14ac:dyDescent="0.25">
      <c r="A7" s="65" t="s">
        <v>12</v>
      </c>
      <c r="B7" s="90">
        <v>7482711152.8499994</v>
      </c>
      <c r="C7" s="90">
        <v>180039965.65000001</v>
      </c>
      <c r="D7" s="90">
        <v>318244401.85000002</v>
      </c>
      <c r="E7" s="90">
        <v>2107981664.9999998</v>
      </c>
      <c r="F7" s="90">
        <v>12766759.039999999</v>
      </c>
      <c r="G7" s="90">
        <v>101383953.98999999</v>
      </c>
      <c r="H7" s="90">
        <v>15531482.1</v>
      </c>
      <c r="I7" s="90">
        <v>42153332.439999998</v>
      </c>
      <c r="J7" s="90">
        <v>24282518.870000001</v>
      </c>
      <c r="K7" s="90">
        <v>232983441.32999998</v>
      </c>
      <c r="L7" s="90">
        <v>190915344.33999997</v>
      </c>
      <c r="M7" s="90">
        <v>3437140960.2100019</v>
      </c>
      <c r="N7" s="90">
        <v>60637423.859999999</v>
      </c>
      <c r="O7" s="90">
        <v>713792214.12</v>
      </c>
      <c r="P7" s="90">
        <v>1958559.9900000002</v>
      </c>
      <c r="Q7" s="90">
        <v>4833783.59</v>
      </c>
      <c r="R7" s="90">
        <v>4152496.0399999996</v>
      </c>
    </row>
    <row r="8" spans="1:18" ht="13.5" customHeight="1" x14ac:dyDescent="0.2">
      <c r="A8" s="67" t="s">
        <v>13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</row>
    <row r="9" spans="1:18" ht="13.5" customHeight="1" x14ac:dyDescent="0.2">
      <c r="A9" s="50" t="s">
        <v>15</v>
      </c>
      <c r="B9" s="92">
        <v>2176099735.1299987</v>
      </c>
      <c r="C9" s="92">
        <v>87709742.270000011</v>
      </c>
      <c r="D9" s="92">
        <v>103448143.55</v>
      </c>
      <c r="E9" s="92">
        <v>799008936.80000031</v>
      </c>
      <c r="F9" s="92">
        <v>3620173.02</v>
      </c>
      <c r="G9" s="92">
        <v>45188777.810000002</v>
      </c>
      <c r="H9" s="92">
        <v>7413384.5899999999</v>
      </c>
      <c r="I9" s="92">
        <v>18395053.879999999</v>
      </c>
      <c r="J9" s="92">
        <v>10936298.08</v>
      </c>
      <c r="K9" s="92">
        <v>107597951.97000001</v>
      </c>
      <c r="L9" s="91">
        <v>26563089.520000003</v>
      </c>
      <c r="M9" s="92">
        <v>664651576.95999742</v>
      </c>
      <c r="N9" s="92">
        <v>27926863.980000004</v>
      </c>
      <c r="O9" s="92">
        <v>254227849.57999995</v>
      </c>
      <c r="P9" s="92">
        <v>359098.29000000004</v>
      </c>
      <c r="Q9" s="92">
        <v>1711748.0299999998</v>
      </c>
      <c r="R9" s="92">
        <v>2095657.34</v>
      </c>
    </row>
    <row r="10" spans="1:18" ht="13.5" customHeight="1" x14ac:dyDescent="0.2">
      <c r="A10" s="50" t="s">
        <v>16</v>
      </c>
      <c r="B10" s="92">
        <v>740794773.65999877</v>
      </c>
      <c r="C10" s="92">
        <v>27674222.169999998</v>
      </c>
      <c r="D10" s="92">
        <v>34469177.060000002</v>
      </c>
      <c r="E10" s="92">
        <v>272114675.81</v>
      </c>
      <c r="F10" s="92">
        <v>1174467.01</v>
      </c>
      <c r="G10" s="92">
        <v>14225637.42</v>
      </c>
      <c r="H10" s="92">
        <v>2227866.59</v>
      </c>
      <c r="I10" s="92">
        <v>6460435.3399999989</v>
      </c>
      <c r="J10" s="92">
        <v>3716555.29</v>
      </c>
      <c r="K10" s="92">
        <v>34428242.339999996</v>
      </c>
      <c r="L10" s="91">
        <v>21523891.579999987</v>
      </c>
      <c r="M10" s="92">
        <v>226359438.65999958</v>
      </c>
      <c r="N10" s="92">
        <v>8989256.4399999995</v>
      </c>
      <c r="O10" s="92">
        <v>80810473.479999989</v>
      </c>
      <c r="P10" s="92">
        <v>132138.01999999999</v>
      </c>
      <c r="Q10" s="92">
        <v>594673.27</v>
      </c>
      <c r="R10" s="92">
        <v>746093.83000000007</v>
      </c>
    </row>
    <row r="11" spans="1:18" ht="13.5" customHeight="1" x14ac:dyDescent="0.2">
      <c r="A11" s="50" t="s">
        <v>17</v>
      </c>
      <c r="B11" s="92">
        <v>1602094608.1200004</v>
      </c>
      <c r="C11" s="92">
        <v>9380616.9700000007</v>
      </c>
      <c r="D11" s="92">
        <v>31508095.039999999</v>
      </c>
      <c r="E11" s="92">
        <v>270915594.82999998</v>
      </c>
      <c r="F11" s="92">
        <v>1040139.4</v>
      </c>
      <c r="G11" s="92">
        <v>6455414.3300000001</v>
      </c>
      <c r="H11" s="92">
        <v>2190937.31</v>
      </c>
      <c r="I11" s="92">
        <v>6223405.4800000004</v>
      </c>
      <c r="J11" s="92">
        <v>1497353.48</v>
      </c>
      <c r="K11" s="92">
        <v>17611860.140000001</v>
      </c>
      <c r="L11" s="91">
        <v>60262054.890000015</v>
      </c>
      <c r="M11" s="92">
        <v>1157682323.5200028</v>
      </c>
      <c r="N11" s="92">
        <v>5052127.1700000009</v>
      </c>
      <c r="O11" s="92">
        <v>29837419.009999998</v>
      </c>
      <c r="P11" s="92">
        <v>131036.70000000001</v>
      </c>
      <c r="Q11" s="92">
        <v>76515.850000000006</v>
      </c>
      <c r="R11" s="92">
        <v>41527.050000000003</v>
      </c>
    </row>
    <row r="12" spans="1:18" ht="13.5" customHeight="1" x14ac:dyDescent="0.2">
      <c r="A12" s="50" t="s">
        <v>18</v>
      </c>
      <c r="B12" s="92">
        <v>672319707.65999889</v>
      </c>
      <c r="C12" s="92">
        <v>5234730.05</v>
      </c>
      <c r="D12" s="92">
        <v>89731553.310000002</v>
      </c>
      <c r="E12" s="92">
        <v>191824595.43000004</v>
      </c>
      <c r="F12" s="92">
        <v>149313.64000000001</v>
      </c>
      <c r="G12" s="92">
        <v>13615898.73</v>
      </c>
      <c r="H12" s="92">
        <v>1135650.1000000001</v>
      </c>
      <c r="I12" s="92">
        <v>1530878.8</v>
      </c>
      <c r="J12" s="92">
        <v>1841503.11</v>
      </c>
      <c r="K12" s="92">
        <v>15329429.449999999</v>
      </c>
      <c r="L12" s="91">
        <v>18256443.57</v>
      </c>
      <c r="M12" s="92">
        <v>270637084.62999964</v>
      </c>
      <c r="N12" s="92">
        <v>3203413.8499999996</v>
      </c>
      <c r="O12" s="92">
        <v>58339447.499999993</v>
      </c>
      <c r="P12" s="92">
        <v>920981.44000000006</v>
      </c>
      <c r="Q12" s="92">
        <v>312497.78999999998</v>
      </c>
      <c r="R12" s="92">
        <v>44426.34</v>
      </c>
    </row>
    <row r="13" spans="1:18" ht="13.5" customHeight="1" x14ac:dyDescent="0.2">
      <c r="A13" s="50" t="s">
        <v>28</v>
      </c>
      <c r="B13" s="92">
        <v>35027407.149999999</v>
      </c>
      <c r="C13" s="92">
        <v>1087853.0900000001</v>
      </c>
      <c r="D13" s="92">
        <v>2092509.97</v>
      </c>
      <c r="E13" s="92">
        <v>19681176.68</v>
      </c>
      <c r="F13" s="92" t="s">
        <v>56</v>
      </c>
      <c r="G13" s="92">
        <v>491146.15</v>
      </c>
      <c r="H13" s="92">
        <v>139182.14000000001</v>
      </c>
      <c r="I13" s="92">
        <v>191235.98</v>
      </c>
      <c r="J13" s="92">
        <v>227717.88</v>
      </c>
      <c r="K13" s="92">
        <v>3064407.75</v>
      </c>
      <c r="L13" s="91">
        <v>20760</v>
      </c>
      <c r="M13" s="92">
        <v>4377843.24</v>
      </c>
      <c r="N13" s="92">
        <v>297388.3</v>
      </c>
      <c r="O13" s="92">
        <v>3356185.9699999993</v>
      </c>
      <c r="P13" s="92" t="s">
        <v>56</v>
      </c>
      <c r="Q13" s="92" t="s">
        <v>56</v>
      </c>
      <c r="R13" s="92" t="s">
        <v>56</v>
      </c>
    </row>
    <row r="14" spans="1:18" ht="13.5" customHeight="1" x14ac:dyDescent="0.2">
      <c r="A14" s="50" t="s">
        <v>19</v>
      </c>
      <c r="B14" s="92">
        <v>261177212.50000063</v>
      </c>
      <c r="C14" s="92">
        <v>6621372.7199999988</v>
      </c>
      <c r="D14" s="92">
        <v>14651238.09</v>
      </c>
      <c r="E14" s="92">
        <v>69062016.199999988</v>
      </c>
      <c r="F14" s="92">
        <v>1189029.72</v>
      </c>
      <c r="G14" s="92">
        <v>6963054.29</v>
      </c>
      <c r="H14" s="92">
        <v>199579.45</v>
      </c>
      <c r="I14" s="92">
        <v>1128362.8700000001</v>
      </c>
      <c r="J14" s="92">
        <v>584176.4</v>
      </c>
      <c r="K14" s="92">
        <v>8486565.25</v>
      </c>
      <c r="L14" s="91">
        <v>6733587.3400000017</v>
      </c>
      <c r="M14" s="92">
        <v>118886773.89000003</v>
      </c>
      <c r="N14" s="92">
        <v>1496051.5000000002</v>
      </c>
      <c r="O14" s="92">
        <v>23523325.359999999</v>
      </c>
      <c r="P14" s="92">
        <v>41221.130000000005</v>
      </c>
      <c r="Q14" s="92">
        <v>141784.62</v>
      </c>
      <c r="R14" s="92">
        <v>232301.34000000003</v>
      </c>
    </row>
    <row r="15" spans="1:18" ht="13.5" customHeight="1" x14ac:dyDescent="0.2">
      <c r="A15" s="50" t="s">
        <v>20</v>
      </c>
      <c r="B15" s="92">
        <v>143866133.18999997</v>
      </c>
      <c r="C15" s="92">
        <v>7606035.6699999999</v>
      </c>
      <c r="D15" s="92">
        <v>6579483.5900000008</v>
      </c>
      <c r="E15" s="92">
        <v>56179426.529999994</v>
      </c>
      <c r="F15" s="92">
        <v>1282314.45</v>
      </c>
      <c r="G15" s="92">
        <v>1620486.87</v>
      </c>
      <c r="H15" s="92">
        <v>406436</v>
      </c>
      <c r="I15" s="92">
        <v>1296175.9200000002</v>
      </c>
      <c r="J15" s="92">
        <v>637591.49</v>
      </c>
      <c r="K15" s="92">
        <v>5443473.8999999994</v>
      </c>
      <c r="L15" s="91">
        <v>3152165.16</v>
      </c>
      <c r="M15" s="92">
        <v>34499065.32</v>
      </c>
      <c r="N15" s="92">
        <v>1250584.3200000003</v>
      </c>
      <c r="O15" s="92">
        <v>20825714.459999997</v>
      </c>
      <c r="P15" s="92">
        <v>3771.1800000000003</v>
      </c>
      <c r="Q15" s="92">
        <v>147181</v>
      </c>
      <c r="R15" s="92">
        <v>52523.6</v>
      </c>
    </row>
    <row r="16" spans="1:18" ht="13.5" customHeight="1" x14ac:dyDescent="0.2">
      <c r="A16" s="50" t="s">
        <v>31</v>
      </c>
      <c r="B16" s="92">
        <v>95981937.409999982</v>
      </c>
      <c r="C16" s="92">
        <v>2655480.7999999998</v>
      </c>
      <c r="D16" s="92">
        <v>4405522.2699999996</v>
      </c>
      <c r="E16" s="92">
        <v>24913246.189999998</v>
      </c>
      <c r="F16" s="92">
        <v>321627.38</v>
      </c>
      <c r="G16" s="92">
        <v>1721499.24</v>
      </c>
      <c r="H16" s="92">
        <v>172899.02000000002</v>
      </c>
      <c r="I16" s="92">
        <v>709654.33000000007</v>
      </c>
      <c r="J16" s="92">
        <v>633249.85000000009</v>
      </c>
      <c r="K16" s="92">
        <v>2775261.15</v>
      </c>
      <c r="L16" s="91">
        <v>3152011.28</v>
      </c>
      <c r="M16" s="92">
        <v>43717094.049999945</v>
      </c>
      <c r="N16" s="92">
        <v>502197.60000000003</v>
      </c>
      <c r="O16" s="92">
        <v>9563543.5299999975</v>
      </c>
      <c r="P16" s="92">
        <v>8908.41</v>
      </c>
      <c r="Q16" s="92">
        <v>55068.5</v>
      </c>
      <c r="R16" s="92">
        <v>54487.54</v>
      </c>
    </row>
    <row r="17" spans="1:18" ht="13.5" customHeight="1" x14ac:dyDescent="0.25">
      <c r="A17" s="65" t="s">
        <v>14</v>
      </c>
      <c r="B17" s="93">
        <v>7771990514.0400057</v>
      </c>
      <c r="C17" s="93">
        <v>182133066.58000001</v>
      </c>
      <c r="D17" s="93">
        <v>342493746.91000003</v>
      </c>
      <c r="E17" s="93">
        <v>1986767231.3699994</v>
      </c>
      <c r="F17" s="93">
        <v>15014408.48</v>
      </c>
      <c r="G17" s="93">
        <v>90073808.069999993</v>
      </c>
      <c r="H17" s="93">
        <v>15572881.66</v>
      </c>
      <c r="I17" s="93">
        <v>43561919.590000004</v>
      </c>
      <c r="J17" s="93">
        <v>23677824.530000001</v>
      </c>
      <c r="K17" s="93">
        <v>220438159.59</v>
      </c>
      <c r="L17" s="90">
        <v>240361772.90000013</v>
      </c>
      <c r="M17" s="93">
        <v>3786409149.5500011</v>
      </c>
      <c r="N17" s="93">
        <v>62145132.250000015</v>
      </c>
      <c r="O17" s="93">
        <v>720636484.95999992</v>
      </c>
      <c r="P17" s="93">
        <v>1543869.95</v>
      </c>
      <c r="Q17" s="93">
        <v>6136499.5699999994</v>
      </c>
      <c r="R17" s="93">
        <v>4941676.9000000013</v>
      </c>
    </row>
    <row r="18" spans="1:18" ht="13.5" customHeight="1" x14ac:dyDescent="0.2">
      <c r="A18" s="50" t="s">
        <v>34</v>
      </c>
      <c r="B18" s="92">
        <v>5131633075.8899918</v>
      </c>
      <c r="C18" s="92">
        <v>142124444.93000001</v>
      </c>
      <c r="D18" s="92">
        <v>312543740.93000001</v>
      </c>
      <c r="E18" s="92">
        <v>1297534519.8100002</v>
      </c>
      <c r="F18" s="92">
        <v>5994254.6699999999</v>
      </c>
      <c r="G18" s="92">
        <v>52154737.380000003</v>
      </c>
      <c r="H18" s="92">
        <v>12363716.639999999</v>
      </c>
      <c r="I18" s="92">
        <v>33477043.359999999</v>
      </c>
      <c r="J18" s="92">
        <v>22248343.539999999</v>
      </c>
      <c r="K18" s="92">
        <v>174087467.32999998</v>
      </c>
      <c r="L18" s="91">
        <v>151408688.64000005</v>
      </c>
      <c r="M18" s="92">
        <v>2378016054.6400032</v>
      </c>
      <c r="N18" s="92">
        <v>43454861.859999999</v>
      </c>
      <c r="O18" s="92">
        <v>492636789.99000007</v>
      </c>
      <c r="P18" s="92">
        <v>963888.15</v>
      </c>
      <c r="Q18" s="92">
        <v>1438674.71</v>
      </c>
      <c r="R18" s="92">
        <v>4462008.78</v>
      </c>
    </row>
    <row r="19" spans="1:18" ht="13.5" customHeight="1" x14ac:dyDescent="0.2">
      <c r="A19" s="50" t="s">
        <v>21</v>
      </c>
      <c r="B19" s="92">
        <v>1393030947.9499941</v>
      </c>
      <c r="C19" s="92">
        <v>4902042.8099999996</v>
      </c>
      <c r="D19" s="92">
        <v>10527041.530000001</v>
      </c>
      <c r="E19" s="92">
        <v>43493195.929999992</v>
      </c>
      <c r="F19" s="92">
        <v>7774913.6699999999</v>
      </c>
      <c r="G19" s="92">
        <v>11141228.42</v>
      </c>
      <c r="H19" s="92">
        <v>1026187.03</v>
      </c>
      <c r="I19" s="92">
        <v>2233867.04</v>
      </c>
      <c r="J19" s="92">
        <v>339558.75</v>
      </c>
      <c r="K19" s="92">
        <v>5765398.7399999993</v>
      </c>
      <c r="L19" s="91">
        <v>81664960.499999985</v>
      </c>
      <c r="M19" s="92">
        <v>1134810560.1599979</v>
      </c>
      <c r="N19" s="92">
        <v>3639081.25</v>
      </c>
      <c r="O19" s="92">
        <v>73896644.400000006</v>
      </c>
      <c r="P19" s="92">
        <v>569470.70000000007</v>
      </c>
      <c r="Q19" s="92">
        <v>3397463</v>
      </c>
      <c r="R19" s="92">
        <v>140721.26</v>
      </c>
    </row>
    <row r="20" spans="1:18" ht="13.5" customHeight="1" x14ac:dyDescent="0.2">
      <c r="A20" s="69" t="s">
        <v>22</v>
      </c>
      <c r="B20" s="92">
        <v>536861469.84999985</v>
      </c>
      <c r="C20" s="92">
        <v>64049.91</v>
      </c>
      <c r="D20" s="92">
        <v>8477759.3900000006</v>
      </c>
      <c r="E20" s="92">
        <v>30575583.410000008</v>
      </c>
      <c r="F20" s="92" t="s">
        <v>56</v>
      </c>
      <c r="G20" s="92">
        <v>3084749.92</v>
      </c>
      <c r="H20" s="92">
        <v>872802</v>
      </c>
      <c r="I20" s="92">
        <v>1080293.71</v>
      </c>
      <c r="J20" s="92" t="s">
        <v>56</v>
      </c>
      <c r="K20" s="92">
        <v>2098614.91</v>
      </c>
      <c r="L20" s="91">
        <v>24806293.079999987</v>
      </c>
      <c r="M20" s="92">
        <v>461804225.71999973</v>
      </c>
      <c r="N20" s="92">
        <v>515723.35</v>
      </c>
      <c r="O20" s="92">
        <v>2282791.0799999996</v>
      </c>
      <c r="P20" s="92">
        <v>73905.39</v>
      </c>
      <c r="Q20" s="92" t="s">
        <v>56</v>
      </c>
      <c r="R20" s="92" t="s">
        <v>56</v>
      </c>
    </row>
    <row r="21" spans="1:18" ht="13.5" customHeight="1" x14ac:dyDescent="0.2">
      <c r="A21" s="70" t="s">
        <v>35</v>
      </c>
      <c r="B21" s="92">
        <v>375542377.12000006</v>
      </c>
      <c r="C21" s="92">
        <v>4111667.5700000003</v>
      </c>
      <c r="D21" s="92" t="s">
        <v>56</v>
      </c>
      <c r="E21" s="92">
        <v>327781630.23000002</v>
      </c>
      <c r="F21" s="92" t="s">
        <v>56</v>
      </c>
      <c r="G21" s="92">
        <v>16611324.789999999</v>
      </c>
      <c r="H21" s="92">
        <v>15313.03</v>
      </c>
      <c r="I21" s="92">
        <v>1418265.15</v>
      </c>
      <c r="J21" s="92" t="s">
        <v>56</v>
      </c>
      <c r="K21" s="92">
        <v>192497.39</v>
      </c>
      <c r="L21" s="91">
        <v>158661</v>
      </c>
      <c r="M21" s="92">
        <v>7130645.8499999996</v>
      </c>
      <c r="N21" s="92">
        <v>4235009.88</v>
      </c>
      <c r="O21" s="92">
        <v>477365.47</v>
      </c>
      <c r="P21" s="92" t="s">
        <v>56</v>
      </c>
      <c r="Q21" s="92">
        <v>181922.74</v>
      </c>
      <c r="R21" s="92" t="s">
        <v>56</v>
      </c>
    </row>
    <row r="22" spans="1:18" ht="13.5" customHeight="1" x14ac:dyDescent="0.2">
      <c r="A22" s="70" t="s">
        <v>33</v>
      </c>
      <c r="B22" s="92">
        <v>871784113.0799998</v>
      </c>
      <c r="C22" s="92">
        <v>30994911.269999996</v>
      </c>
      <c r="D22" s="92">
        <v>19422964.449999999</v>
      </c>
      <c r="E22" s="92">
        <v>317957885.40000004</v>
      </c>
      <c r="F22" s="92">
        <v>1245240.1399999999</v>
      </c>
      <c r="G22" s="92">
        <v>10166517.48</v>
      </c>
      <c r="H22" s="92">
        <v>2167664.96</v>
      </c>
      <c r="I22" s="92">
        <v>6432744.040000001</v>
      </c>
      <c r="J22" s="92">
        <v>1089922.24</v>
      </c>
      <c r="K22" s="92">
        <v>40392796.129999995</v>
      </c>
      <c r="L22" s="91">
        <v>7129462.7599999988</v>
      </c>
      <c r="M22" s="92">
        <v>266451888.89999983</v>
      </c>
      <c r="N22" s="92">
        <v>10816179.260000004</v>
      </c>
      <c r="O22" s="92">
        <v>153625685.09999996</v>
      </c>
      <c r="P22" s="92">
        <v>10511.1</v>
      </c>
      <c r="Q22" s="92">
        <v>1118439.1200000001</v>
      </c>
      <c r="R22" s="92">
        <v>338946.86</v>
      </c>
    </row>
    <row r="23" spans="1:18" ht="13.5" customHeight="1" x14ac:dyDescent="0.25">
      <c r="A23" s="71" t="s">
        <v>27</v>
      </c>
      <c r="B23" s="84">
        <v>289279361.18999934</v>
      </c>
      <c r="C23" s="84">
        <v>2093100.93</v>
      </c>
      <c r="D23" s="84">
        <v>24249345.060000002</v>
      </c>
      <c r="E23" s="84">
        <v>-121214433.63000001</v>
      </c>
      <c r="F23" s="84">
        <v>2247649.44</v>
      </c>
      <c r="G23" s="84">
        <v>-11310145.92</v>
      </c>
      <c r="H23" s="84">
        <v>41399.560000000005</v>
      </c>
      <c r="I23" s="84">
        <v>1408587.15</v>
      </c>
      <c r="J23" s="84">
        <v>-604694.34</v>
      </c>
      <c r="K23" s="84">
        <v>-12545281.740000002</v>
      </c>
      <c r="L23" s="85">
        <v>49446428.559999987</v>
      </c>
      <c r="M23" s="84">
        <v>349268189.33999896</v>
      </c>
      <c r="N23" s="84">
        <v>1507708.3899999997</v>
      </c>
      <c r="O23" s="84">
        <v>6844270.840000012</v>
      </c>
      <c r="P23" s="84">
        <v>-414690.04</v>
      </c>
      <c r="Q23" s="84">
        <v>1302715.98</v>
      </c>
      <c r="R23" s="84">
        <v>789180.86</v>
      </c>
    </row>
    <row r="24" spans="1:18" s="25" customFormat="1" ht="13.5" customHeight="1" x14ac:dyDescent="0.2">
      <c r="A24" s="101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</row>
    <row r="25" spans="1:18" ht="13.5" customHeight="1" x14ac:dyDescent="0.2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8" ht="13.5" customHeight="1" x14ac:dyDescent="0.25">
      <c r="C26" s="103"/>
      <c r="D26" s="103"/>
    </row>
    <row r="27" spans="1:18" ht="13.5" customHeight="1" x14ac:dyDescent="0.25">
      <c r="C27" s="104"/>
      <c r="D27" s="104"/>
    </row>
    <row r="28" spans="1:18" ht="13.5" customHeight="1" x14ac:dyDescent="0.25">
      <c r="C28" s="104"/>
      <c r="D28" s="104"/>
    </row>
    <row r="29" spans="1:18" ht="13.5" customHeight="1" x14ac:dyDescent="0.25">
      <c r="C29" s="104"/>
      <c r="D29" s="104"/>
    </row>
    <row r="30" spans="1:18" ht="13.5" customHeight="1" x14ac:dyDescent="0.25">
      <c r="C30" s="104"/>
      <c r="D30" s="104"/>
    </row>
    <row r="31" spans="1:18" ht="13.5" customHeight="1" x14ac:dyDescent="0.25">
      <c r="C31" s="104"/>
      <c r="D31" s="104"/>
    </row>
    <row r="32" spans="1:18" ht="13.5" customHeight="1" x14ac:dyDescent="0.25">
      <c r="C32" s="104"/>
      <c r="D32" s="104"/>
    </row>
    <row r="33" spans="3:4" ht="13.5" customHeight="1" x14ac:dyDescent="0.25">
      <c r="C33" s="104"/>
      <c r="D33" s="104"/>
    </row>
    <row r="34" spans="3:4" ht="13.5" customHeight="1" x14ac:dyDescent="0.25">
      <c r="C34" s="104"/>
      <c r="D34" s="104"/>
    </row>
    <row r="35" spans="3:4" ht="13.5" customHeight="1" x14ac:dyDescent="0.25">
      <c r="C35" s="104"/>
      <c r="D35" s="104"/>
    </row>
    <row r="36" spans="3:4" ht="13.5" customHeight="1" x14ac:dyDescent="0.25">
      <c r="C36" s="104"/>
      <c r="D36" s="104"/>
    </row>
    <row r="37" spans="3:4" ht="13.5" customHeight="1" x14ac:dyDescent="0.25">
      <c r="C37" s="104"/>
      <c r="D37" s="104"/>
    </row>
    <row r="38" spans="3:4" ht="13.5" customHeight="1" x14ac:dyDescent="0.25">
      <c r="C38" s="104"/>
      <c r="D38" s="104"/>
    </row>
    <row r="39" spans="3:4" ht="13.5" customHeight="1" x14ac:dyDescent="0.25">
      <c r="C39" s="104"/>
      <c r="D39" s="104"/>
    </row>
    <row r="40" spans="3:4" ht="13.5" customHeight="1" x14ac:dyDescent="0.25">
      <c r="C40" s="104"/>
      <c r="D40" s="104"/>
    </row>
    <row r="41" spans="3:4" ht="13.5" customHeight="1" x14ac:dyDescent="0.25">
      <c r="C41" s="104"/>
      <c r="D41" s="104"/>
    </row>
    <row r="42" spans="3:4" ht="13.5" customHeight="1" x14ac:dyDescent="0.25">
      <c r="C42" s="104"/>
      <c r="D42" s="104"/>
    </row>
    <row r="43" spans="3:4" ht="13.5" customHeight="1" x14ac:dyDescent="0.25">
      <c r="C43" s="104"/>
      <c r="D43" s="104"/>
    </row>
  </sheetData>
  <mergeCells count="3">
    <mergeCell ref="A4:A5"/>
    <mergeCell ref="B4:B5"/>
    <mergeCell ref="C4:R4"/>
  </mergeCells>
  <hyperlinks>
    <hyperlink ref="I1" location="Obsah!A1" display="Naspäť na obsah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"/>
  <dimension ref="A1:H38"/>
  <sheetViews>
    <sheetView showGridLines="0" zoomScaleNormal="100" workbookViewId="0"/>
  </sheetViews>
  <sheetFormatPr defaultColWidth="9" defaultRowHeight="13.5" customHeight="1" x14ac:dyDescent="0.2"/>
  <cols>
    <col min="1" max="1" width="38.8984375" style="2" customWidth="1"/>
    <col min="2" max="2" width="14" style="2" customWidth="1"/>
    <col min="3" max="6" width="13.59765625" style="2" customWidth="1"/>
    <col min="7" max="7" width="12" style="2" customWidth="1"/>
    <col min="8" max="9" width="15.8984375" style="2" customWidth="1"/>
    <col min="10" max="35" width="14" style="2" customWidth="1"/>
    <col min="36" max="16384" width="9" style="2"/>
  </cols>
  <sheetData>
    <row r="1" spans="1:8" ht="13.5" customHeight="1" x14ac:dyDescent="0.2">
      <c r="A1" s="16" t="s">
        <v>127</v>
      </c>
      <c r="F1" s="83" t="s">
        <v>123</v>
      </c>
    </row>
    <row r="2" spans="1:8" ht="12.75" customHeight="1" x14ac:dyDescent="0.25">
      <c r="A2" s="6" t="s">
        <v>130</v>
      </c>
      <c r="B2" s="3"/>
      <c r="H2" s="3"/>
    </row>
    <row r="3" spans="1:8" ht="13.5" customHeight="1" x14ac:dyDescent="0.2">
      <c r="A3" s="7"/>
      <c r="H3" s="3"/>
    </row>
    <row r="4" spans="1:8" ht="18.75" customHeight="1" x14ac:dyDescent="0.2">
      <c r="A4" s="141" t="s">
        <v>29</v>
      </c>
      <c r="B4" s="141" t="s">
        <v>30</v>
      </c>
      <c r="C4" s="143" t="s">
        <v>48</v>
      </c>
      <c r="D4" s="144"/>
      <c r="E4" s="144"/>
      <c r="F4" s="145"/>
      <c r="G4" s="5"/>
    </row>
    <row r="5" spans="1:8" ht="48.75" customHeight="1" x14ac:dyDescent="0.2">
      <c r="A5" s="142"/>
      <c r="B5" s="142"/>
      <c r="C5" s="52" t="s">
        <v>24</v>
      </c>
      <c r="D5" s="52" t="s">
        <v>25</v>
      </c>
      <c r="E5" s="52" t="s">
        <v>26</v>
      </c>
      <c r="F5" s="52" t="s">
        <v>47</v>
      </c>
      <c r="G5" s="5"/>
    </row>
    <row r="6" spans="1:8" ht="13.5" customHeight="1" x14ac:dyDescent="0.25">
      <c r="A6" s="63" t="s">
        <v>11</v>
      </c>
      <c r="B6" s="86">
        <v>144</v>
      </c>
      <c r="C6" s="86">
        <v>81</v>
      </c>
      <c r="D6" s="86">
        <v>16</v>
      </c>
      <c r="E6" s="86">
        <v>13</v>
      </c>
      <c r="F6" s="86">
        <v>34</v>
      </c>
      <c r="G6" s="5"/>
    </row>
    <row r="7" spans="1:8" ht="13.5" customHeight="1" x14ac:dyDescent="0.25">
      <c r="A7" s="65" t="s">
        <v>12</v>
      </c>
      <c r="B7" s="87">
        <v>3740265778.8099995</v>
      </c>
      <c r="C7" s="87">
        <v>1725252152.1199994</v>
      </c>
      <c r="D7" s="87">
        <v>1867262923.0600002</v>
      </c>
      <c r="E7" s="87">
        <v>29235186.32</v>
      </c>
      <c r="F7" s="87">
        <v>118515517.30999997</v>
      </c>
      <c r="G7" s="15"/>
    </row>
    <row r="8" spans="1:8" ht="13.5" customHeight="1" x14ac:dyDescent="0.25">
      <c r="A8" s="67" t="s">
        <v>13</v>
      </c>
      <c r="B8" s="87"/>
      <c r="C8" s="87"/>
      <c r="D8" s="87"/>
      <c r="E8" s="87"/>
      <c r="F8" s="87"/>
      <c r="G8" s="15"/>
    </row>
    <row r="9" spans="1:8" ht="13.5" customHeight="1" x14ac:dyDescent="0.2">
      <c r="A9" s="50" t="s">
        <v>15</v>
      </c>
      <c r="B9" s="68">
        <v>1436920246.1499999</v>
      </c>
      <c r="C9" s="68">
        <v>687774501.83999979</v>
      </c>
      <c r="D9" s="68">
        <v>693234539.72000003</v>
      </c>
      <c r="E9" s="68">
        <v>14726929.539999999</v>
      </c>
      <c r="F9" s="68">
        <v>41184275.049999997</v>
      </c>
      <c r="G9" s="15"/>
    </row>
    <row r="10" spans="1:8" ht="13.5" customHeight="1" x14ac:dyDescent="0.2">
      <c r="A10" s="50" t="s">
        <v>16</v>
      </c>
      <c r="B10" s="68">
        <v>475875395.82999992</v>
      </c>
      <c r="C10" s="68">
        <v>220695696.20999992</v>
      </c>
      <c r="D10" s="68">
        <v>236813612.00999999</v>
      </c>
      <c r="E10" s="68">
        <v>4805270.3099999996</v>
      </c>
      <c r="F10" s="68">
        <v>13560817.299999999</v>
      </c>
      <c r="G10" s="15"/>
    </row>
    <row r="11" spans="1:8" ht="13.5" customHeight="1" x14ac:dyDescent="0.2">
      <c r="A11" s="50" t="s">
        <v>17</v>
      </c>
      <c r="B11" s="68">
        <v>392095508.73000002</v>
      </c>
      <c r="C11" s="68">
        <v>142527400.40000001</v>
      </c>
      <c r="D11" s="68">
        <v>246819441.88999999</v>
      </c>
      <c r="E11" s="68">
        <v>775678.2</v>
      </c>
      <c r="F11" s="68">
        <v>1972988.2399999998</v>
      </c>
      <c r="G11" s="15"/>
    </row>
    <row r="12" spans="1:8" ht="13.5" customHeight="1" x14ac:dyDescent="0.2">
      <c r="A12" s="50" t="s">
        <v>18</v>
      </c>
      <c r="B12" s="68">
        <v>385966395.04000002</v>
      </c>
      <c r="C12" s="68">
        <v>196084074.21000004</v>
      </c>
      <c r="D12" s="68">
        <v>189026768.96999997</v>
      </c>
      <c r="E12" s="68">
        <v>166618.78</v>
      </c>
      <c r="F12" s="68">
        <v>688933.08000000007</v>
      </c>
      <c r="G12" s="15"/>
    </row>
    <row r="13" spans="1:8" ht="13.5" customHeight="1" x14ac:dyDescent="0.2">
      <c r="A13" s="50" t="s">
        <v>28</v>
      </c>
      <c r="B13" s="68">
        <v>32780372.320000008</v>
      </c>
      <c r="C13" s="68">
        <v>12949848.120000005</v>
      </c>
      <c r="D13" s="68">
        <v>19824802.280000001</v>
      </c>
      <c r="E13" s="68">
        <v>79.3</v>
      </c>
      <c r="F13" s="68">
        <v>5642.62</v>
      </c>
      <c r="G13" s="15"/>
    </row>
    <row r="14" spans="1:8" ht="13.5" customHeight="1" x14ac:dyDescent="0.2">
      <c r="A14" s="50" t="s">
        <v>19</v>
      </c>
      <c r="B14" s="68">
        <v>128352366.15000001</v>
      </c>
      <c r="C14" s="68">
        <v>59003900.459999993</v>
      </c>
      <c r="D14" s="68">
        <v>61479189.670000002</v>
      </c>
      <c r="E14" s="68">
        <v>918092.81</v>
      </c>
      <c r="F14" s="68">
        <v>6951183.21</v>
      </c>
      <c r="G14" s="15"/>
    </row>
    <row r="15" spans="1:8" ht="13.5" customHeight="1" x14ac:dyDescent="0.2">
      <c r="A15" s="50" t="s">
        <v>32</v>
      </c>
      <c r="B15" s="68">
        <v>35803111.959999993</v>
      </c>
      <c r="C15" s="68">
        <v>11954432.699999996</v>
      </c>
      <c r="D15" s="68">
        <v>12893493.48</v>
      </c>
      <c r="E15" s="68">
        <v>1067954.0100000002</v>
      </c>
      <c r="F15" s="68">
        <v>9887231.7699999996</v>
      </c>
      <c r="G15" s="15"/>
    </row>
    <row r="16" spans="1:8" ht="13.5" customHeight="1" x14ac:dyDescent="0.2">
      <c r="A16" s="50" t="s">
        <v>20</v>
      </c>
      <c r="B16" s="68">
        <v>106590622.41</v>
      </c>
      <c r="C16" s="68">
        <v>46635326.649999999</v>
      </c>
      <c r="D16" s="68">
        <v>48136565.049999997</v>
      </c>
      <c r="E16" s="68">
        <v>1375044.02</v>
      </c>
      <c r="F16" s="68">
        <v>10443686.689999999</v>
      </c>
      <c r="G16" s="15"/>
    </row>
    <row r="17" spans="1:7" ht="13.5" customHeight="1" x14ac:dyDescent="0.2">
      <c r="A17" s="50" t="s">
        <v>31</v>
      </c>
      <c r="B17" s="68">
        <v>45068713.75</v>
      </c>
      <c r="C17" s="68">
        <v>22667901.809999999</v>
      </c>
      <c r="D17" s="68">
        <v>19393828.449999999</v>
      </c>
      <c r="E17" s="68">
        <v>357004.35000000003</v>
      </c>
      <c r="F17" s="68">
        <v>2649979.14</v>
      </c>
      <c r="G17" s="15"/>
    </row>
    <row r="18" spans="1:7" ht="13.5" customHeight="1" x14ac:dyDescent="0.2">
      <c r="A18" s="50" t="s">
        <v>37</v>
      </c>
      <c r="B18" s="68">
        <v>170420734.17000002</v>
      </c>
      <c r="C18" s="68">
        <v>110931494.02000001</v>
      </c>
      <c r="D18" s="68">
        <v>44429365.210000001</v>
      </c>
      <c r="E18" s="68">
        <v>1370982.9200000002</v>
      </c>
      <c r="F18" s="68">
        <v>13688892.02</v>
      </c>
      <c r="G18" s="15"/>
    </row>
    <row r="19" spans="1:7" ht="13.5" customHeight="1" x14ac:dyDescent="0.25">
      <c r="A19" s="65" t="s">
        <v>14</v>
      </c>
      <c r="B19" s="87">
        <v>3602646850.2999997</v>
      </c>
      <c r="C19" s="87">
        <v>1709456922.8799999</v>
      </c>
      <c r="D19" s="87">
        <v>1737494810.01</v>
      </c>
      <c r="E19" s="87">
        <v>30546815.009999998</v>
      </c>
      <c r="F19" s="87">
        <v>125148302.39999999</v>
      </c>
      <c r="G19" s="15"/>
    </row>
    <row r="20" spans="1:7" ht="13.5" customHeight="1" x14ac:dyDescent="0.2">
      <c r="A20" s="50" t="s">
        <v>34</v>
      </c>
      <c r="B20" s="68">
        <v>2620050574.9499993</v>
      </c>
      <c r="C20" s="68">
        <v>1403962971.05</v>
      </c>
      <c r="D20" s="68">
        <v>1139437880.8499999</v>
      </c>
      <c r="E20" s="68">
        <v>24779525.620000001</v>
      </c>
      <c r="F20" s="68">
        <v>51870197.429999992</v>
      </c>
      <c r="G20" s="15"/>
    </row>
    <row r="21" spans="1:7" ht="13.5" customHeight="1" x14ac:dyDescent="0.2">
      <c r="A21" s="50" t="s">
        <v>38</v>
      </c>
      <c r="B21" s="68"/>
      <c r="C21" s="68"/>
      <c r="D21" s="68"/>
      <c r="E21" s="68"/>
      <c r="F21" s="68"/>
      <c r="G21" s="15"/>
    </row>
    <row r="22" spans="1:7" ht="13.5" customHeight="1" x14ac:dyDescent="0.2">
      <c r="A22" s="69" t="s">
        <v>59</v>
      </c>
      <c r="B22" s="68">
        <v>846141537.1500001</v>
      </c>
      <c r="C22" s="68">
        <v>409254573.93000001</v>
      </c>
      <c r="D22" s="68">
        <v>435217438.31</v>
      </c>
      <c r="E22" s="68">
        <v>1669524.91</v>
      </c>
      <c r="F22" s="68" t="s">
        <v>56</v>
      </c>
      <c r="G22" s="15"/>
    </row>
    <row r="23" spans="1:7" ht="13.5" customHeight="1" x14ac:dyDescent="0.2">
      <c r="A23" s="69" t="s">
        <v>39</v>
      </c>
      <c r="B23" s="68">
        <v>636029428.5200001</v>
      </c>
      <c r="C23" s="68">
        <v>368899279.86000001</v>
      </c>
      <c r="D23" s="68">
        <v>263450214.35000002</v>
      </c>
      <c r="E23" s="68">
        <v>2690811.1100000003</v>
      </c>
      <c r="F23" s="68">
        <v>989123.2</v>
      </c>
      <c r="G23" s="15"/>
    </row>
    <row r="24" spans="1:7" ht="13.5" customHeight="1" x14ac:dyDescent="0.2">
      <c r="A24" s="69" t="s">
        <v>40</v>
      </c>
      <c r="B24" s="68">
        <v>133970250.02000001</v>
      </c>
      <c r="C24" s="68">
        <v>69924603.189999998</v>
      </c>
      <c r="D24" s="68">
        <v>999105.91</v>
      </c>
      <c r="E24" s="68">
        <v>17338775.990000002</v>
      </c>
      <c r="F24" s="68">
        <v>45707764.93</v>
      </c>
      <c r="G24" s="15"/>
    </row>
    <row r="25" spans="1:7" ht="13.5" customHeight="1" x14ac:dyDescent="0.2">
      <c r="A25" s="69" t="s">
        <v>41</v>
      </c>
      <c r="B25" s="68">
        <v>271997498.76999998</v>
      </c>
      <c r="C25" s="68">
        <v>119627686.19999997</v>
      </c>
      <c r="D25" s="68">
        <v>152346562.91000003</v>
      </c>
      <c r="E25" s="68">
        <v>23249.66</v>
      </c>
      <c r="F25" s="68" t="s">
        <v>56</v>
      </c>
      <c r="G25" s="15"/>
    </row>
    <row r="26" spans="1:7" ht="13.5" customHeight="1" x14ac:dyDescent="0.2">
      <c r="A26" s="69" t="s">
        <v>125</v>
      </c>
      <c r="B26" s="68">
        <v>86987174.529999986</v>
      </c>
      <c r="C26" s="68">
        <v>46250513.499999985</v>
      </c>
      <c r="D26" s="68">
        <v>38400921.07</v>
      </c>
      <c r="E26" s="68">
        <v>148</v>
      </c>
      <c r="F26" s="68">
        <v>2335591.96</v>
      </c>
      <c r="G26" s="15"/>
    </row>
    <row r="27" spans="1:7" ht="13.5" customHeight="1" x14ac:dyDescent="0.2">
      <c r="A27" s="69" t="s">
        <v>42</v>
      </c>
      <c r="B27" s="68">
        <v>447250460.22999996</v>
      </c>
      <c r="C27" s="68">
        <v>287666247.06999999</v>
      </c>
      <c r="D27" s="68">
        <v>156703426.83999997</v>
      </c>
      <c r="E27" s="68">
        <v>1324446.51</v>
      </c>
      <c r="F27" s="68">
        <v>1556339.81</v>
      </c>
      <c r="G27" s="15"/>
    </row>
    <row r="28" spans="1:7" ht="13.5" customHeight="1" x14ac:dyDescent="0.2">
      <c r="A28" s="50" t="s">
        <v>21</v>
      </c>
      <c r="B28" s="68">
        <v>146728613.44</v>
      </c>
      <c r="C28" s="68">
        <v>42032409.060000002</v>
      </c>
      <c r="D28" s="68">
        <v>49710446.509999998</v>
      </c>
      <c r="E28" s="68">
        <v>359907.47</v>
      </c>
      <c r="F28" s="68">
        <v>54625850.399999999</v>
      </c>
      <c r="G28" s="15"/>
    </row>
    <row r="29" spans="1:7" ht="13.5" customHeight="1" x14ac:dyDescent="0.2">
      <c r="A29" s="69" t="s">
        <v>43</v>
      </c>
      <c r="B29" s="68">
        <v>45748597.780000001</v>
      </c>
      <c r="C29" s="68">
        <v>12660702.82</v>
      </c>
      <c r="D29" s="68">
        <v>32508853.509999998</v>
      </c>
      <c r="E29" s="68" t="s">
        <v>56</v>
      </c>
      <c r="F29" s="68">
        <v>579041.44999999995</v>
      </c>
      <c r="G29" s="15"/>
    </row>
    <row r="30" spans="1:7" ht="13.5" customHeight="1" x14ac:dyDescent="0.2">
      <c r="A30" s="69" t="s">
        <v>44</v>
      </c>
      <c r="B30" s="68">
        <v>2335858.9899999998</v>
      </c>
      <c r="C30" s="68">
        <v>744299.92999999993</v>
      </c>
      <c r="D30" s="68">
        <v>1543520.7400000002</v>
      </c>
      <c r="E30" s="68" t="s">
        <v>56</v>
      </c>
      <c r="F30" s="68">
        <v>48038.32</v>
      </c>
      <c r="G30" s="15"/>
    </row>
    <row r="31" spans="1:7" ht="13.5" customHeight="1" x14ac:dyDescent="0.2">
      <c r="A31" s="69" t="s">
        <v>45</v>
      </c>
      <c r="B31" s="68">
        <v>3971444.52</v>
      </c>
      <c r="C31" s="68">
        <v>1662032.33</v>
      </c>
      <c r="D31" s="68">
        <v>2045502.02</v>
      </c>
      <c r="E31" s="68" t="s">
        <v>56</v>
      </c>
      <c r="F31" s="68">
        <v>263910.17</v>
      </c>
      <c r="G31" s="15"/>
    </row>
    <row r="32" spans="1:7" ht="13.5" customHeight="1" x14ac:dyDescent="0.2">
      <c r="A32" s="69" t="s">
        <v>46</v>
      </c>
      <c r="B32" s="68">
        <v>94672712.150000006</v>
      </c>
      <c r="C32" s="68">
        <v>26965373.979999997</v>
      </c>
      <c r="D32" s="68">
        <v>13612570.240000002</v>
      </c>
      <c r="E32" s="68">
        <v>359907.47</v>
      </c>
      <c r="F32" s="68">
        <v>53734860.460000001</v>
      </c>
      <c r="G32" s="15"/>
    </row>
    <row r="33" spans="1:7" ht="13.5" customHeight="1" x14ac:dyDescent="0.2">
      <c r="A33" s="50" t="s">
        <v>35</v>
      </c>
      <c r="B33" s="68">
        <v>292267096.46000004</v>
      </c>
      <c r="C33" s="68">
        <v>11083382.75</v>
      </c>
      <c r="D33" s="68">
        <v>279197556.08000004</v>
      </c>
      <c r="E33" s="68">
        <v>405468.53</v>
      </c>
      <c r="F33" s="68">
        <v>1580689.1</v>
      </c>
      <c r="G33" s="15"/>
    </row>
    <row r="34" spans="1:7" ht="13.5" customHeight="1" x14ac:dyDescent="0.2">
      <c r="A34" s="50" t="s">
        <v>33</v>
      </c>
      <c r="B34" s="68">
        <v>543600565.44999993</v>
      </c>
      <c r="C34" s="68">
        <v>252378160.01999998</v>
      </c>
      <c r="D34" s="68">
        <v>269148926.56999999</v>
      </c>
      <c r="E34" s="68">
        <v>5001913.3899999997</v>
      </c>
      <c r="F34" s="68">
        <v>17071565.469999999</v>
      </c>
      <c r="G34" s="15"/>
    </row>
    <row r="35" spans="1:7" ht="13.5" customHeight="1" x14ac:dyDescent="0.25">
      <c r="A35" s="71" t="s">
        <v>27</v>
      </c>
      <c r="B35" s="88">
        <v>-137618928.50999999</v>
      </c>
      <c r="C35" s="88">
        <v>-15795229.239999983</v>
      </c>
      <c r="D35" s="88">
        <v>-129768113.05</v>
      </c>
      <c r="E35" s="88">
        <v>1311628.6900000002</v>
      </c>
      <c r="F35" s="88">
        <v>6632785.0899999989</v>
      </c>
      <c r="G35" s="15"/>
    </row>
    <row r="37" spans="1:7" ht="13.5" customHeight="1" x14ac:dyDescent="0.2">
      <c r="A37" s="17" t="s">
        <v>58</v>
      </c>
    </row>
    <row r="38" spans="1:7" ht="13.5" customHeight="1" x14ac:dyDescent="0.2">
      <c r="A38" s="14" t="s">
        <v>60</v>
      </c>
    </row>
  </sheetData>
  <mergeCells count="3">
    <mergeCell ref="A4:A5"/>
    <mergeCell ref="B4:B5"/>
    <mergeCell ref="C4:F4"/>
  </mergeCells>
  <hyperlinks>
    <hyperlink ref="F1" location="Obsah!A1" display="Naspäť na obsah"/>
  </hyperlinks>
  <pageMargins left="0.7" right="0.7" top="0.75" bottom="0.75" header="0.3" footer="0.3"/>
  <pageSetup paperSize="9" scale="75" orientation="portrait" r:id="rId1"/>
  <colBreaks count="1" manualBreakCount="1">
    <brk id="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"/>
  <dimension ref="A1:M37"/>
  <sheetViews>
    <sheetView showGridLines="0" zoomScaleNormal="100" workbookViewId="0"/>
  </sheetViews>
  <sheetFormatPr defaultColWidth="9" defaultRowHeight="13.5" customHeight="1" x14ac:dyDescent="0.2"/>
  <cols>
    <col min="1" max="1" width="39.09765625" style="9" customWidth="1"/>
    <col min="2" max="3" width="17.69921875" style="9" customWidth="1"/>
    <col min="4" max="9" width="12" style="9" customWidth="1"/>
    <col min="10" max="11" width="13.3984375" style="9" customWidth="1"/>
    <col min="12" max="12" width="20.8984375" style="9" customWidth="1"/>
    <col min="13" max="13" width="15.8984375" style="10" customWidth="1"/>
    <col min="14" max="14" width="16.5" style="9" customWidth="1"/>
    <col min="15" max="30" width="13.5" style="9" customWidth="1"/>
    <col min="31" max="34" width="8" style="9"/>
    <col min="35" max="16384" width="9" style="9"/>
  </cols>
  <sheetData>
    <row r="1" spans="1:11" ht="13.5" customHeight="1" x14ac:dyDescent="0.2">
      <c r="A1" s="16" t="s">
        <v>127</v>
      </c>
      <c r="D1" s="83" t="s">
        <v>123</v>
      </c>
    </row>
    <row r="2" spans="1:11" ht="13.5" customHeight="1" x14ac:dyDescent="0.25">
      <c r="A2" s="6" t="s">
        <v>131</v>
      </c>
    </row>
    <row r="3" spans="1:11" ht="13.5" customHeight="1" x14ac:dyDescent="0.2">
      <c r="A3" s="8"/>
      <c r="E3" s="73"/>
      <c r="F3" s="73"/>
      <c r="G3" s="73"/>
      <c r="H3" s="73"/>
      <c r="I3" s="73"/>
    </row>
    <row r="4" spans="1:11" s="14" customFormat="1" ht="16.5" customHeight="1" x14ac:dyDescent="0.2">
      <c r="A4" s="141" t="s">
        <v>29</v>
      </c>
      <c r="B4" s="146" t="s">
        <v>55</v>
      </c>
      <c r="C4" s="147"/>
      <c r="D4" s="11"/>
      <c r="E4" s="81"/>
      <c r="F4" s="82"/>
      <c r="G4" s="82"/>
      <c r="H4" s="12"/>
      <c r="I4" s="11"/>
      <c r="J4" s="4"/>
      <c r="K4" s="13"/>
    </row>
    <row r="5" spans="1:11" ht="36" customHeight="1" x14ac:dyDescent="0.2">
      <c r="A5" s="142"/>
      <c r="B5" s="52" t="s">
        <v>53</v>
      </c>
      <c r="C5" s="52" t="s">
        <v>54</v>
      </c>
      <c r="E5" s="81"/>
      <c r="F5" s="18"/>
      <c r="G5" s="18"/>
      <c r="H5" s="73"/>
      <c r="I5" s="73"/>
    </row>
    <row r="6" spans="1:11" ht="13.5" customHeight="1" x14ac:dyDescent="0.25">
      <c r="A6" s="63" t="s">
        <v>11</v>
      </c>
      <c r="B6" s="64">
        <v>7838</v>
      </c>
      <c r="C6" s="64">
        <v>1803</v>
      </c>
      <c r="E6" s="74"/>
      <c r="F6" s="75"/>
      <c r="G6" s="75"/>
      <c r="H6" s="11"/>
      <c r="I6" s="11"/>
    </row>
    <row r="7" spans="1:11" ht="13.5" customHeight="1" x14ac:dyDescent="0.25">
      <c r="A7" s="65" t="s">
        <v>12</v>
      </c>
      <c r="B7" s="66">
        <v>1641854658.0500019</v>
      </c>
      <c r="C7" s="66">
        <v>1941769246.9100018</v>
      </c>
      <c r="E7" s="76"/>
      <c r="F7" s="77"/>
      <c r="G7" s="77"/>
      <c r="H7" s="11"/>
      <c r="I7" s="11"/>
    </row>
    <row r="8" spans="1:11" ht="13.5" customHeight="1" x14ac:dyDescent="0.25">
      <c r="A8" s="67" t="s">
        <v>49</v>
      </c>
      <c r="B8" s="66"/>
      <c r="C8" s="66"/>
      <c r="E8" s="58"/>
      <c r="F8" s="77"/>
      <c r="G8" s="77"/>
      <c r="H8" s="11"/>
      <c r="I8" s="11"/>
    </row>
    <row r="9" spans="1:11" ht="13.5" customHeight="1" x14ac:dyDescent="0.2">
      <c r="A9" s="50" t="s">
        <v>15</v>
      </c>
      <c r="B9" s="49">
        <v>549140151.82999897</v>
      </c>
      <c r="C9" s="49">
        <v>132655094.73999999</v>
      </c>
      <c r="E9" s="78"/>
      <c r="F9" s="28"/>
      <c r="G9" s="28"/>
      <c r="H9" s="11"/>
      <c r="I9" s="11"/>
    </row>
    <row r="10" spans="1:11" ht="13.5" customHeight="1" x14ac:dyDescent="0.2">
      <c r="A10" s="50" t="s">
        <v>16</v>
      </c>
      <c r="B10" s="49">
        <v>196923140.27999979</v>
      </c>
      <c r="C10" s="49">
        <v>47490978.730000012</v>
      </c>
      <c r="E10" s="78"/>
      <c r="F10" s="28"/>
      <c r="G10" s="28"/>
      <c r="H10" s="11"/>
      <c r="I10" s="11"/>
    </row>
    <row r="11" spans="1:11" ht="13.5" customHeight="1" x14ac:dyDescent="0.2">
      <c r="A11" s="50" t="s">
        <v>17</v>
      </c>
      <c r="B11" s="49">
        <v>48883573.589999996</v>
      </c>
      <c r="C11" s="49">
        <v>1156688911.2400002</v>
      </c>
      <c r="E11" s="78"/>
      <c r="F11" s="28"/>
      <c r="G11" s="28"/>
      <c r="H11" s="11"/>
      <c r="I11" s="11"/>
    </row>
    <row r="12" spans="1:11" ht="13.5" customHeight="1" x14ac:dyDescent="0.2">
      <c r="A12" s="50" t="s">
        <v>18</v>
      </c>
      <c r="B12" s="49">
        <v>109085635.49000005</v>
      </c>
      <c r="C12" s="49">
        <v>158030089.50999993</v>
      </c>
      <c r="D12" s="14"/>
      <c r="E12" s="78"/>
      <c r="F12" s="28"/>
      <c r="G12" s="28"/>
      <c r="H12" s="11"/>
      <c r="I12" s="11"/>
    </row>
    <row r="13" spans="1:11" ht="13.5" customHeight="1" x14ac:dyDescent="0.2">
      <c r="A13" s="50" t="s">
        <v>50</v>
      </c>
      <c r="B13" s="49">
        <v>639582.44999999995</v>
      </c>
      <c r="C13" s="49">
        <v>231604640.98999989</v>
      </c>
      <c r="E13" s="78"/>
      <c r="F13" s="28"/>
      <c r="G13" s="28"/>
      <c r="H13" s="11"/>
      <c r="I13" s="11"/>
    </row>
    <row r="14" spans="1:11" ht="13.5" customHeight="1" x14ac:dyDescent="0.2">
      <c r="A14" s="50" t="s">
        <v>28</v>
      </c>
      <c r="B14" s="49">
        <v>2045735.3100000003</v>
      </c>
      <c r="C14" s="49">
        <v>169952.92</v>
      </c>
      <c r="E14" s="78"/>
      <c r="F14" s="28"/>
      <c r="G14" s="28"/>
      <c r="H14" s="11"/>
      <c r="I14" s="11"/>
    </row>
    <row r="15" spans="1:11" ht="13.5" customHeight="1" x14ac:dyDescent="0.2">
      <c r="A15" s="50" t="s">
        <v>19</v>
      </c>
      <c r="B15" s="68">
        <v>104641738.25999995</v>
      </c>
      <c r="C15" s="68">
        <v>18299942.460000001</v>
      </c>
      <c r="E15" s="78"/>
      <c r="F15" s="79"/>
      <c r="G15" s="79"/>
      <c r="H15" s="11"/>
      <c r="I15" s="11"/>
    </row>
    <row r="16" spans="1:11" ht="13.5" customHeight="1" x14ac:dyDescent="0.2">
      <c r="A16" s="50" t="s">
        <v>20</v>
      </c>
      <c r="B16" s="68">
        <v>25558778.619999975</v>
      </c>
      <c r="C16" s="68">
        <v>8589438.0300000049</v>
      </c>
      <c r="E16" s="78"/>
      <c r="F16" s="79"/>
      <c r="G16" s="79"/>
      <c r="H16" s="11"/>
      <c r="I16" s="11"/>
    </row>
    <row r="17" spans="1:13" ht="13.5" customHeight="1" x14ac:dyDescent="0.2">
      <c r="A17" s="50" t="s">
        <v>31</v>
      </c>
      <c r="B17" s="49">
        <v>38812356.519999988</v>
      </c>
      <c r="C17" s="49">
        <v>6990574.3500000099</v>
      </c>
      <c r="E17" s="78"/>
      <c r="F17" s="28"/>
      <c r="G17" s="28"/>
      <c r="H17" s="11"/>
      <c r="I17" s="11"/>
    </row>
    <row r="18" spans="1:13" ht="13.5" customHeight="1" x14ac:dyDescent="0.2">
      <c r="A18" s="50" t="s">
        <v>37</v>
      </c>
      <c r="B18" s="49">
        <v>132199319.79999998</v>
      </c>
      <c r="C18" s="49">
        <v>23603755.809999995</v>
      </c>
      <c r="E18" s="78"/>
      <c r="F18" s="28"/>
      <c r="G18" s="28"/>
      <c r="H18" s="11"/>
      <c r="I18" s="11"/>
    </row>
    <row r="19" spans="1:13" ht="13.5" customHeight="1" x14ac:dyDescent="0.25">
      <c r="A19" s="65" t="s">
        <v>14</v>
      </c>
      <c r="B19" s="66">
        <v>2014927395.9299998</v>
      </c>
      <c r="C19" s="66">
        <v>1995820860.5700023</v>
      </c>
      <c r="E19" s="76"/>
      <c r="F19" s="77"/>
      <c r="G19" s="77"/>
      <c r="H19" s="11"/>
      <c r="I19" s="11"/>
      <c r="M19" s="13"/>
    </row>
    <row r="20" spans="1:13" ht="13.5" customHeight="1" x14ac:dyDescent="0.2">
      <c r="A20" s="50" t="s">
        <v>34</v>
      </c>
      <c r="B20" s="49">
        <v>1529551283.2300003</v>
      </c>
      <c r="C20" s="49">
        <v>968227688.64000046</v>
      </c>
      <c r="E20" s="78"/>
      <c r="F20" s="28"/>
      <c r="G20" s="28"/>
      <c r="H20" s="11"/>
      <c r="I20" s="11"/>
      <c r="M20" s="13"/>
    </row>
    <row r="21" spans="1:13" ht="13.5" customHeight="1" x14ac:dyDescent="0.2">
      <c r="A21" s="50" t="s">
        <v>38</v>
      </c>
      <c r="B21" s="49"/>
      <c r="C21" s="49"/>
      <c r="E21" s="78"/>
      <c r="F21" s="28"/>
      <c r="G21" s="28"/>
      <c r="H21" s="11"/>
      <c r="I21" s="11"/>
      <c r="M21" s="13"/>
    </row>
    <row r="22" spans="1:13" ht="13.5" customHeight="1" x14ac:dyDescent="0.2">
      <c r="A22" s="69" t="s">
        <v>41</v>
      </c>
      <c r="B22" s="49">
        <v>11660562.410000004</v>
      </c>
      <c r="C22" s="49">
        <v>32351.230000000003</v>
      </c>
      <c r="E22" s="80"/>
      <c r="F22" s="28"/>
      <c r="G22" s="28"/>
      <c r="H22" s="11"/>
      <c r="I22" s="11"/>
      <c r="M22" s="13"/>
    </row>
    <row r="23" spans="1:13" ht="13.5" customHeight="1" x14ac:dyDescent="0.2">
      <c r="A23" s="69" t="s">
        <v>51</v>
      </c>
      <c r="B23" s="49">
        <v>8852118.1399999987</v>
      </c>
      <c r="C23" s="68" t="s">
        <v>56</v>
      </c>
      <c r="E23" s="80"/>
      <c r="F23" s="28"/>
      <c r="G23" s="79"/>
      <c r="H23" s="11"/>
      <c r="I23" s="11"/>
      <c r="M23" s="13"/>
    </row>
    <row r="24" spans="1:13" ht="13.5" customHeight="1" x14ac:dyDescent="0.2">
      <c r="A24" s="69" t="s">
        <v>125</v>
      </c>
      <c r="B24" s="49">
        <v>86850939.679999992</v>
      </c>
      <c r="C24" s="68">
        <v>5610476.3200000003</v>
      </c>
      <c r="E24" s="80"/>
      <c r="F24" s="28"/>
      <c r="G24" s="28"/>
      <c r="H24" s="11"/>
      <c r="I24" s="11"/>
      <c r="M24" s="13"/>
    </row>
    <row r="25" spans="1:13" ht="13.5" customHeight="1" x14ac:dyDescent="0.2">
      <c r="A25" s="69" t="s">
        <v>42</v>
      </c>
      <c r="B25" s="49">
        <v>897234917.34000123</v>
      </c>
      <c r="C25" s="49">
        <v>1490111.1</v>
      </c>
      <c r="E25" s="80"/>
      <c r="F25" s="28"/>
      <c r="G25" s="28"/>
      <c r="H25" s="11"/>
      <c r="I25" s="11"/>
    </row>
    <row r="26" spans="1:13" ht="13.5" customHeight="1" x14ac:dyDescent="0.2">
      <c r="A26" s="69" t="s">
        <v>52</v>
      </c>
      <c r="B26" s="49">
        <v>458651963.82999939</v>
      </c>
      <c r="C26" s="49">
        <v>542544.46</v>
      </c>
      <c r="E26" s="80"/>
      <c r="F26" s="28"/>
      <c r="G26" s="28"/>
      <c r="H26" s="11"/>
      <c r="I26" s="11"/>
      <c r="M26" s="13"/>
    </row>
    <row r="27" spans="1:13" ht="13.5" customHeight="1" x14ac:dyDescent="0.2">
      <c r="A27" s="50" t="s">
        <v>21</v>
      </c>
      <c r="B27" s="49">
        <v>345668808.21000034</v>
      </c>
      <c r="C27" s="49">
        <v>855382831.84999871</v>
      </c>
      <c r="E27" s="78"/>
      <c r="F27" s="28"/>
      <c r="G27" s="28"/>
      <c r="H27" s="11"/>
      <c r="I27" s="11"/>
      <c r="M27" s="13"/>
    </row>
    <row r="28" spans="1:13" ht="13.5" customHeight="1" x14ac:dyDescent="0.2">
      <c r="A28" s="69" t="s">
        <v>43</v>
      </c>
      <c r="B28" s="49">
        <v>5014789.25</v>
      </c>
      <c r="C28" s="49">
        <v>486042327.42999995</v>
      </c>
      <c r="E28" s="80"/>
      <c r="F28" s="28"/>
      <c r="G28" s="28"/>
      <c r="H28" s="11"/>
      <c r="I28" s="11"/>
      <c r="M28" s="13"/>
    </row>
    <row r="29" spans="1:13" ht="13.5" customHeight="1" x14ac:dyDescent="0.2">
      <c r="A29" s="69" t="s">
        <v>44</v>
      </c>
      <c r="B29" s="49">
        <v>4794104.55</v>
      </c>
      <c r="C29" s="49">
        <v>55940300.089999989</v>
      </c>
      <c r="E29" s="80"/>
      <c r="F29" s="28"/>
      <c r="G29" s="28"/>
      <c r="H29" s="11"/>
      <c r="I29" s="11"/>
      <c r="M29" s="13"/>
    </row>
    <row r="30" spans="1:13" ht="13.5" customHeight="1" x14ac:dyDescent="0.2">
      <c r="A30" s="69" t="s">
        <v>45</v>
      </c>
      <c r="B30" s="49">
        <v>1121169.07</v>
      </c>
      <c r="C30" s="49">
        <v>292577191.18000025</v>
      </c>
      <c r="E30" s="80"/>
      <c r="F30" s="28"/>
      <c r="G30" s="28"/>
      <c r="H30" s="11"/>
      <c r="I30" s="11"/>
    </row>
    <row r="31" spans="1:13" ht="13.5" customHeight="1" x14ac:dyDescent="0.2">
      <c r="A31" s="69" t="s">
        <v>46</v>
      </c>
      <c r="B31" s="49">
        <v>334738745.34000027</v>
      </c>
      <c r="C31" s="49">
        <v>20823013.150000013</v>
      </c>
      <c r="E31" s="80"/>
      <c r="F31" s="28"/>
      <c r="G31" s="28"/>
      <c r="H31" s="11"/>
      <c r="I31" s="11"/>
    </row>
    <row r="32" spans="1:13" ht="13.5" customHeight="1" x14ac:dyDescent="0.2">
      <c r="A32" s="50" t="s">
        <v>35</v>
      </c>
      <c r="B32" s="49">
        <v>11345631.539999997</v>
      </c>
      <c r="C32" s="49">
        <v>155535.01</v>
      </c>
      <c r="E32" s="78"/>
      <c r="F32" s="28"/>
      <c r="G32" s="28"/>
      <c r="H32" s="11"/>
      <c r="I32" s="11"/>
    </row>
    <row r="33" spans="1:9" ht="13.5" customHeight="1" x14ac:dyDescent="0.2">
      <c r="A33" s="50" t="s">
        <v>33</v>
      </c>
      <c r="B33" s="49">
        <v>128361672.94999981</v>
      </c>
      <c r="C33" s="49">
        <v>172054805.06999993</v>
      </c>
      <c r="E33" s="78"/>
      <c r="F33" s="28"/>
      <c r="G33" s="28"/>
      <c r="H33" s="11"/>
      <c r="I33" s="11"/>
    </row>
    <row r="34" spans="1:9" ht="13.5" customHeight="1" x14ac:dyDescent="0.25">
      <c r="A34" s="71" t="s">
        <v>27</v>
      </c>
      <c r="B34" s="72">
        <v>373072737.88000029</v>
      </c>
      <c r="C34" s="72">
        <v>54051613.660000131</v>
      </c>
      <c r="E34" s="76"/>
      <c r="F34" s="77"/>
      <c r="G34" s="77"/>
      <c r="H34" s="11"/>
      <c r="I34" s="11"/>
    </row>
    <row r="35" spans="1:9" ht="13.5" customHeight="1" x14ac:dyDescent="0.2">
      <c r="E35" s="73"/>
      <c r="F35" s="73"/>
      <c r="G35" s="73"/>
      <c r="H35" s="73"/>
      <c r="I35" s="73"/>
    </row>
    <row r="36" spans="1:9" ht="13.5" customHeight="1" x14ac:dyDescent="0.2">
      <c r="E36" s="73"/>
      <c r="F36" s="73"/>
      <c r="G36" s="73"/>
      <c r="H36" s="73"/>
      <c r="I36" s="73"/>
    </row>
    <row r="37" spans="1:9" ht="13.5" customHeight="1" x14ac:dyDescent="0.2">
      <c r="E37" s="73"/>
      <c r="F37" s="73"/>
      <c r="G37" s="73"/>
      <c r="H37" s="73"/>
      <c r="I37" s="73"/>
    </row>
  </sheetData>
  <mergeCells count="2">
    <mergeCell ref="A4:A5"/>
    <mergeCell ref="B4:C4"/>
  </mergeCells>
  <hyperlinks>
    <hyperlink ref="D1" location="Obsah!A1" display="Naspäť na obsah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Views>
    <sheetView showGridLines="0" zoomScaleNormal="100" workbookViewId="0"/>
  </sheetViews>
  <sheetFormatPr defaultColWidth="9" defaultRowHeight="13.5" customHeight="1" x14ac:dyDescent="0.2"/>
  <cols>
    <col min="1" max="1" width="21.69921875" style="2" customWidth="1"/>
    <col min="2" max="2" width="13.5" style="3" customWidth="1"/>
    <col min="3" max="4" width="13.5" style="2" customWidth="1"/>
    <col min="5" max="9" width="12.59765625" style="2" customWidth="1"/>
    <col min="10" max="10" width="24.3984375" style="2" customWidth="1"/>
    <col min="11" max="13" width="12.59765625" style="3" customWidth="1"/>
    <col min="14" max="14" width="22.796875" style="2" customWidth="1"/>
    <col min="15" max="15" width="12.69921875" style="2" customWidth="1"/>
    <col min="16" max="16" width="13.19921875" style="2" customWidth="1"/>
    <col min="17" max="17" width="13.3984375" style="2" customWidth="1"/>
    <col min="18" max="19" width="11" style="2" customWidth="1"/>
    <col min="20" max="16384" width="9" style="2"/>
  </cols>
  <sheetData>
    <row r="1" spans="1:21" ht="13.5" customHeight="1" x14ac:dyDescent="0.25">
      <c r="A1" s="16" t="s">
        <v>127</v>
      </c>
      <c r="F1" s="83" t="s">
        <v>123</v>
      </c>
      <c r="G1" s="29"/>
      <c r="H1" s="22"/>
      <c r="I1" s="22"/>
      <c r="J1" s="22"/>
      <c r="K1" s="26"/>
      <c r="L1" s="26"/>
      <c r="M1" s="26"/>
    </row>
    <row r="2" spans="1:21" ht="13.5" customHeight="1" x14ac:dyDescent="0.2">
      <c r="A2" s="115" t="s">
        <v>141</v>
      </c>
      <c r="G2" s="22"/>
      <c r="H2" s="22"/>
      <c r="I2" s="22"/>
      <c r="J2" s="22"/>
      <c r="K2" s="23"/>
      <c r="L2" s="23"/>
      <c r="M2" s="23"/>
    </row>
    <row r="3" spans="1:21" ht="13.5" customHeight="1" x14ac:dyDescent="0.25">
      <c r="G3" s="21"/>
      <c r="H3" s="22"/>
      <c r="I3" s="22"/>
      <c r="J3" s="105" t="s">
        <v>137</v>
      </c>
      <c r="K3"/>
      <c r="L3" s="2"/>
      <c r="M3" s="2"/>
    </row>
    <row r="4" spans="1:21" ht="13.5" customHeight="1" x14ac:dyDescent="0.2">
      <c r="B4" s="2"/>
      <c r="C4" s="21"/>
      <c r="D4" s="22"/>
      <c r="E4" s="22"/>
      <c r="F4" s="22"/>
      <c r="G4" s="23"/>
      <c r="H4" s="23"/>
      <c r="I4" s="23"/>
      <c r="J4" s="151" t="s">
        <v>29</v>
      </c>
      <c r="K4" s="148" t="s">
        <v>68</v>
      </c>
      <c r="L4" s="148" t="s">
        <v>71</v>
      </c>
      <c r="M4" s="148" t="s">
        <v>70</v>
      </c>
    </row>
    <row r="5" spans="1:21" ht="39.75" customHeight="1" x14ac:dyDescent="0.2">
      <c r="B5" s="2"/>
      <c r="C5" s="21"/>
      <c r="D5" s="22"/>
      <c r="E5" s="22"/>
      <c r="F5" s="22"/>
      <c r="G5" s="23"/>
      <c r="H5" s="23"/>
      <c r="I5" s="23"/>
      <c r="J5" s="152"/>
      <c r="K5" s="150"/>
      <c r="L5" s="149"/>
      <c r="M5" s="149"/>
      <c r="R5" s="22"/>
      <c r="S5" s="22"/>
      <c r="T5" s="22"/>
      <c r="U5" s="22"/>
    </row>
    <row r="6" spans="1:21" ht="13.5" customHeight="1" x14ac:dyDescent="0.25">
      <c r="B6" s="2"/>
      <c r="C6" s="21"/>
      <c r="D6" s="22"/>
      <c r="E6" s="22"/>
      <c r="F6" s="22"/>
      <c r="G6" s="23"/>
      <c r="H6" s="23"/>
      <c r="I6" s="23"/>
      <c r="J6" s="119" t="s">
        <v>12</v>
      </c>
      <c r="K6" s="120">
        <v>1941769246.9100018</v>
      </c>
      <c r="L6" s="120">
        <v>3740265778.8100004</v>
      </c>
      <c r="M6" s="121">
        <v>1641854658.0500009</v>
      </c>
      <c r="R6" s="22"/>
      <c r="S6" s="22"/>
      <c r="T6" s="22"/>
      <c r="U6" s="22"/>
    </row>
    <row r="7" spans="1:21" ht="13.5" customHeight="1" x14ac:dyDescent="0.2">
      <c r="B7" s="2"/>
      <c r="C7" s="21"/>
      <c r="D7" s="22"/>
      <c r="E7" s="22"/>
      <c r="F7" s="22"/>
      <c r="G7" s="23"/>
      <c r="H7" s="23"/>
      <c r="I7" s="23"/>
      <c r="J7" s="106" t="s">
        <v>66</v>
      </c>
      <c r="K7" s="118">
        <v>180146073.47</v>
      </c>
      <c r="L7" s="118">
        <v>1912795641.98</v>
      </c>
      <c r="M7" s="118">
        <v>746063292.10999799</v>
      </c>
      <c r="R7" s="22"/>
      <c r="S7" s="22"/>
      <c r="T7" s="22"/>
      <c r="U7" s="22"/>
    </row>
    <row r="8" spans="1:21" ht="13.5" customHeight="1" x14ac:dyDescent="0.2">
      <c r="B8" s="2"/>
      <c r="C8" s="21"/>
      <c r="D8" s="22"/>
      <c r="E8" s="22"/>
      <c r="F8" s="22"/>
      <c r="G8" s="23"/>
      <c r="H8" s="23"/>
      <c r="I8" s="23"/>
      <c r="J8" s="108" t="s">
        <v>17</v>
      </c>
      <c r="K8" s="118">
        <v>1156688911.2400005</v>
      </c>
      <c r="L8" s="118">
        <v>392095508.72999996</v>
      </c>
      <c r="M8" s="118">
        <v>48883573.589999996</v>
      </c>
      <c r="R8" s="22"/>
      <c r="S8" s="22"/>
      <c r="T8" s="22"/>
      <c r="U8" s="22"/>
    </row>
    <row r="9" spans="1:21" ht="13.5" customHeight="1" x14ac:dyDescent="0.2">
      <c r="B9" s="2"/>
      <c r="C9" s="21"/>
      <c r="D9" s="22"/>
      <c r="E9" s="22"/>
      <c r="F9" s="22"/>
      <c r="G9" s="23"/>
      <c r="H9" s="23"/>
      <c r="I9" s="23"/>
      <c r="J9" s="108" t="s">
        <v>18</v>
      </c>
      <c r="K9" s="118">
        <v>158030089.5099999</v>
      </c>
      <c r="L9" s="118">
        <v>385966395.04000008</v>
      </c>
      <c r="M9" s="118">
        <v>109085635.49000011</v>
      </c>
      <c r="N9" s="3"/>
      <c r="O9" s="3"/>
      <c r="P9" s="3"/>
      <c r="Q9" s="3"/>
      <c r="R9" s="22"/>
      <c r="S9" s="22"/>
      <c r="T9" s="22"/>
      <c r="U9" s="22"/>
    </row>
    <row r="10" spans="1:21" ht="13.5" customHeight="1" x14ac:dyDescent="0.2">
      <c r="B10" s="2"/>
      <c r="C10" s="21"/>
      <c r="D10" s="22"/>
      <c r="E10" s="22"/>
      <c r="F10" s="22"/>
      <c r="G10" s="23"/>
      <c r="H10" s="23"/>
      <c r="I10" s="23"/>
      <c r="J10" s="109" t="s">
        <v>62</v>
      </c>
      <c r="K10" s="118">
        <v>231604640.98999989</v>
      </c>
      <c r="L10" s="118">
        <v>21488598.75</v>
      </c>
      <c r="M10" s="118">
        <v>639582.44999999995</v>
      </c>
      <c r="R10" s="22"/>
      <c r="S10" s="22"/>
      <c r="T10" s="22"/>
      <c r="U10" s="22"/>
    </row>
    <row r="11" spans="1:21" ht="13.5" customHeight="1" x14ac:dyDescent="0.2">
      <c r="B11" s="2"/>
      <c r="C11" s="21"/>
      <c r="D11" s="22"/>
      <c r="E11" s="22"/>
      <c r="F11" s="22"/>
      <c r="G11" s="23"/>
      <c r="H11" s="23"/>
      <c r="I11" s="23"/>
      <c r="J11" s="50" t="s">
        <v>19</v>
      </c>
      <c r="K11" s="118">
        <v>18299942.459999997</v>
      </c>
      <c r="L11" s="118">
        <v>128352366.15000001</v>
      </c>
      <c r="M11" s="118">
        <v>104641738.25999996</v>
      </c>
      <c r="R11" s="22"/>
      <c r="S11" s="22"/>
      <c r="T11" s="22"/>
      <c r="U11" s="22"/>
    </row>
    <row r="12" spans="1:21" ht="13.5" customHeight="1" x14ac:dyDescent="0.2">
      <c r="B12" s="2"/>
      <c r="C12" s="21"/>
      <c r="D12" s="22"/>
      <c r="E12" s="22"/>
      <c r="F12" s="22"/>
      <c r="G12" s="23"/>
      <c r="H12" s="23"/>
      <c r="I12" s="23"/>
      <c r="J12" s="109" t="s">
        <v>67</v>
      </c>
      <c r="K12" s="118">
        <v>196999589.24000001</v>
      </c>
      <c r="L12" s="118">
        <v>899567268.15999997</v>
      </c>
      <c r="M12" s="118">
        <v>632540836.14999998</v>
      </c>
      <c r="R12" s="22"/>
      <c r="S12" s="22"/>
      <c r="T12" s="22"/>
      <c r="U12" s="22"/>
    </row>
    <row r="13" spans="1:21" ht="13.5" customHeight="1" x14ac:dyDescent="0.25">
      <c r="B13" s="2"/>
      <c r="C13" s="21"/>
      <c r="D13" s="22"/>
      <c r="E13" s="22"/>
      <c r="F13" s="22"/>
      <c r="G13" s="23"/>
      <c r="H13" s="23"/>
      <c r="I13" s="23"/>
      <c r="J13" s="122" t="s">
        <v>74</v>
      </c>
      <c r="K13" s="122"/>
      <c r="L13" s="122"/>
      <c r="M13" s="122"/>
      <c r="R13" s="22"/>
      <c r="S13" s="22"/>
      <c r="T13" s="22"/>
      <c r="U13" s="22"/>
    </row>
    <row r="14" spans="1:21" ht="13.5" customHeight="1" x14ac:dyDescent="0.2">
      <c r="B14" s="2"/>
      <c r="C14" s="21"/>
      <c r="D14" s="22"/>
      <c r="E14" s="22"/>
      <c r="F14" s="22"/>
      <c r="G14" s="23"/>
      <c r="H14" s="23"/>
      <c r="I14" s="23"/>
      <c r="J14" s="106" t="s">
        <v>66</v>
      </c>
      <c r="K14" s="107">
        <v>9.2774192276797091E-2</v>
      </c>
      <c r="L14" s="107">
        <v>0.51140634251627271</v>
      </c>
      <c r="M14" s="107">
        <v>0.45440276241995897</v>
      </c>
      <c r="N14" s="22"/>
      <c r="O14" s="22"/>
      <c r="P14" s="22"/>
      <c r="Q14" s="22"/>
      <c r="R14" s="22"/>
      <c r="S14" s="22"/>
      <c r="T14" s="22"/>
      <c r="U14" s="22"/>
    </row>
    <row r="15" spans="1:21" ht="13.5" customHeight="1" x14ac:dyDescent="0.2">
      <c r="B15" s="2"/>
      <c r="C15" s="21"/>
      <c r="D15" s="22"/>
      <c r="E15" s="22"/>
      <c r="F15" s="22"/>
      <c r="G15" s="23"/>
      <c r="H15" s="23"/>
      <c r="I15" s="23"/>
      <c r="J15" s="108" t="s">
        <v>17</v>
      </c>
      <c r="K15" s="107">
        <v>0.59568814012307403</v>
      </c>
      <c r="L15" s="107">
        <v>0.10483092162898347</v>
      </c>
      <c r="M15" s="107">
        <v>2.9773386669961439E-2</v>
      </c>
      <c r="N15" s="22"/>
      <c r="O15" s="22"/>
      <c r="P15" s="22"/>
      <c r="Q15" s="22"/>
      <c r="R15" s="22"/>
      <c r="S15" s="22"/>
      <c r="T15" s="22"/>
      <c r="U15" s="22"/>
    </row>
    <row r="16" spans="1:21" ht="13.5" customHeight="1" x14ac:dyDescent="0.2">
      <c r="B16" s="2"/>
      <c r="C16" s="21"/>
      <c r="D16" s="22"/>
      <c r="E16" s="22"/>
      <c r="F16" s="22"/>
      <c r="G16" s="23"/>
      <c r="H16" s="23"/>
      <c r="I16" s="23"/>
      <c r="J16" s="108" t="s">
        <v>18</v>
      </c>
      <c r="K16" s="107">
        <v>8.1384587669970643E-2</v>
      </c>
      <c r="L16" s="107">
        <v>0.10319223762831069</v>
      </c>
      <c r="M16" s="107">
        <v>6.6440494568233602E-2</v>
      </c>
      <c r="N16" s="22"/>
      <c r="O16" s="22"/>
      <c r="P16" s="22"/>
      <c r="Q16" s="22"/>
      <c r="R16" s="22"/>
      <c r="S16" s="22"/>
      <c r="T16" s="22"/>
      <c r="U16" s="22"/>
    </row>
    <row r="17" spans="2:21" ht="13.5" customHeight="1" x14ac:dyDescent="0.2">
      <c r="B17" s="2"/>
      <c r="C17" s="21"/>
      <c r="D17" s="22"/>
      <c r="E17" s="22"/>
      <c r="F17" s="22"/>
      <c r="G17" s="23"/>
      <c r="H17" s="23"/>
      <c r="I17" s="23"/>
      <c r="J17" s="109" t="s">
        <v>62</v>
      </c>
      <c r="K17" s="107">
        <v>0.11927505874272117</v>
      </c>
      <c r="L17" s="107">
        <v>5.7452063625373683E-3</v>
      </c>
      <c r="M17" s="107">
        <v>3.8954876234880602E-4</v>
      </c>
      <c r="N17" s="22"/>
      <c r="O17" s="22"/>
      <c r="P17" s="22"/>
      <c r="Q17" s="22"/>
      <c r="R17" s="22"/>
      <c r="S17" s="22"/>
      <c r="T17" s="22"/>
      <c r="U17" s="22"/>
    </row>
    <row r="18" spans="2:21" ht="13.5" customHeight="1" x14ac:dyDescent="0.2">
      <c r="B18" s="2"/>
      <c r="C18" s="21"/>
      <c r="D18" s="22"/>
      <c r="E18" s="22"/>
      <c r="F18" s="22"/>
      <c r="G18" s="23"/>
      <c r="H18" s="23"/>
      <c r="I18" s="23"/>
      <c r="J18" s="50" t="s">
        <v>19</v>
      </c>
      <c r="K18" s="107">
        <v>9.4243651706407798E-3</v>
      </c>
      <c r="L18" s="107">
        <v>3.4316375824724542E-2</v>
      </c>
      <c r="M18" s="107">
        <v>6.3733862036412486E-2</v>
      </c>
      <c r="N18" s="22"/>
      <c r="O18" s="22"/>
      <c r="P18" s="22"/>
      <c r="Q18" s="22"/>
      <c r="R18" s="22"/>
      <c r="S18" s="22"/>
      <c r="T18" s="22"/>
      <c r="U18" s="22"/>
    </row>
    <row r="19" spans="2:21" ht="13.5" customHeight="1" x14ac:dyDescent="0.2">
      <c r="B19" s="2"/>
      <c r="C19" s="21"/>
      <c r="D19" s="22"/>
      <c r="E19" s="22"/>
      <c r="F19" s="22"/>
      <c r="G19" s="23"/>
      <c r="H19" s="23"/>
      <c r="I19" s="23"/>
      <c r="J19" s="109" t="s">
        <v>67</v>
      </c>
      <c r="K19" s="110">
        <v>0.10145365601679583</v>
      </c>
      <c r="L19" s="110">
        <v>0.24050891603917135</v>
      </c>
      <c r="M19" s="110">
        <v>0.38525994554308246</v>
      </c>
      <c r="N19" s="22"/>
      <c r="O19" s="22"/>
      <c r="P19" s="22"/>
      <c r="Q19" s="22"/>
      <c r="R19" s="22"/>
      <c r="S19" s="22"/>
      <c r="T19" s="22"/>
      <c r="U19" s="22"/>
    </row>
    <row r="20" spans="2:21" ht="13.5" customHeight="1" x14ac:dyDescent="0.2">
      <c r="B20" s="2"/>
      <c r="C20" s="21"/>
      <c r="D20" s="22"/>
      <c r="E20" s="22"/>
      <c r="F20" s="22"/>
      <c r="G20" s="23"/>
      <c r="H20" s="23"/>
      <c r="I20" s="23"/>
      <c r="J20" s="27"/>
      <c r="K20" s="27"/>
      <c r="L20" s="27"/>
      <c r="M20" s="27"/>
      <c r="N20" s="22"/>
      <c r="O20" s="22"/>
      <c r="P20" s="22"/>
      <c r="Q20" s="22"/>
      <c r="R20" s="22"/>
      <c r="S20" s="22"/>
      <c r="T20" s="22"/>
      <c r="U20" s="22"/>
    </row>
    <row r="21" spans="2:21" ht="13.5" customHeight="1" x14ac:dyDescent="0.2">
      <c r="B21" s="2"/>
      <c r="C21" s="21"/>
      <c r="D21" s="22"/>
      <c r="E21" s="22"/>
      <c r="F21" s="22"/>
      <c r="G21" s="23"/>
      <c r="H21" s="23"/>
      <c r="I21" s="23"/>
      <c r="K21" s="2"/>
      <c r="L21" s="2"/>
      <c r="M21" s="2"/>
      <c r="N21" s="22"/>
      <c r="O21" s="22"/>
      <c r="P21" s="22"/>
      <c r="Q21" s="22"/>
      <c r="R21" s="22"/>
      <c r="S21" s="22"/>
      <c r="T21" s="22"/>
      <c r="U21" s="22"/>
    </row>
    <row r="22" spans="2:21" ht="13.5" customHeight="1" x14ac:dyDescent="0.2">
      <c r="B22" s="2"/>
      <c r="D22" s="22"/>
      <c r="E22" s="22"/>
      <c r="F22" s="22"/>
      <c r="G22" s="23"/>
      <c r="H22" s="23"/>
      <c r="I22" s="23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2:21" ht="13.5" customHeight="1" x14ac:dyDescent="0.2">
      <c r="B23" s="2"/>
      <c r="C23" s="21"/>
      <c r="D23" s="22"/>
      <c r="E23" s="22"/>
      <c r="F23" s="22"/>
      <c r="G23" s="23"/>
      <c r="H23" s="23"/>
      <c r="I23" s="23"/>
      <c r="J23" s="22"/>
      <c r="K23" s="23"/>
      <c r="L23" s="23"/>
      <c r="M23" s="23"/>
    </row>
    <row r="24" spans="2:21" ht="13.5" customHeight="1" x14ac:dyDescent="0.2">
      <c r="B24" s="2"/>
      <c r="C24" s="21"/>
      <c r="D24" s="22"/>
      <c r="E24" s="22"/>
      <c r="F24" s="22"/>
      <c r="G24" s="23"/>
      <c r="H24" s="23"/>
      <c r="I24" s="23"/>
      <c r="J24" s="22"/>
      <c r="K24" s="2"/>
      <c r="L24" s="2"/>
      <c r="M24" s="2"/>
    </row>
    <row r="25" spans="2:21" ht="13.5" customHeight="1" x14ac:dyDescent="0.2">
      <c r="B25" s="2"/>
      <c r="D25" s="22"/>
      <c r="E25" s="22"/>
      <c r="F25" s="22"/>
      <c r="G25" s="23"/>
      <c r="H25" s="23"/>
      <c r="I25" s="23"/>
      <c r="J25" s="22"/>
      <c r="K25" s="2"/>
      <c r="L25" s="2"/>
      <c r="M25" s="2"/>
    </row>
    <row r="26" spans="2:21" ht="13.5" customHeight="1" x14ac:dyDescent="0.2">
      <c r="B26" s="2"/>
      <c r="D26" s="22"/>
      <c r="E26" s="22"/>
      <c r="F26" s="22"/>
      <c r="G26" s="23"/>
      <c r="H26" s="23"/>
      <c r="I26" s="23"/>
      <c r="J26" s="22"/>
    </row>
    <row r="27" spans="2:21" ht="13.5" customHeight="1" x14ac:dyDescent="0.25">
      <c r="B27" s="2"/>
      <c r="C27" s="29"/>
      <c r="D27" s="22"/>
      <c r="E27" s="22"/>
      <c r="F27" s="22"/>
      <c r="G27" s="23"/>
      <c r="H27" s="23"/>
      <c r="I27" s="23"/>
      <c r="J27" s="22"/>
    </row>
    <row r="28" spans="2:21" ht="13.5" customHeight="1" x14ac:dyDescent="0.2">
      <c r="G28" s="22"/>
      <c r="H28" s="22"/>
      <c r="I28" s="22"/>
      <c r="J28" s="22"/>
      <c r="N28" s="22"/>
      <c r="O28" s="22"/>
      <c r="P28" s="22"/>
      <c r="Q28" s="22"/>
    </row>
    <row r="29" spans="2:21" ht="13.5" customHeight="1" x14ac:dyDescent="0.2">
      <c r="B29" s="2"/>
      <c r="G29" s="21"/>
      <c r="H29" s="22"/>
      <c r="I29" s="22"/>
      <c r="J29" s="22"/>
      <c r="N29" s="22"/>
      <c r="O29" s="22"/>
      <c r="P29" s="22"/>
      <c r="Q29" s="22"/>
    </row>
    <row r="30" spans="2:21" ht="13.5" customHeight="1" x14ac:dyDescent="0.2">
      <c r="B30" s="2"/>
      <c r="J30" s="22"/>
      <c r="N30" s="22"/>
      <c r="O30" s="22"/>
      <c r="P30" s="22"/>
      <c r="Q30" s="22"/>
    </row>
    <row r="31" spans="2:21" ht="13.5" customHeight="1" x14ac:dyDescent="0.2">
      <c r="B31" s="2"/>
    </row>
    <row r="32" spans="2:21" ht="13.5" customHeight="1" x14ac:dyDescent="0.2">
      <c r="B32" s="2"/>
    </row>
    <row r="33" spans="2:2" ht="13.5" customHeight="1" x14ac:dyDescent="0.2">
      <c r="B33" s="2"/>
    </row>
    <row r="34" spans="2:2" ht="13.5" customHeight="1" x14ac:dyDescent="0.2">
      <c r="B34" s="2"/>
    </row>
    <row r="35" spans="2:2" ht="13.5" customHeight="1" x14ac:dyDescent="0.2">
      <c r="B35" s="2"/>
    </row>
    <row r="36" spans="2:2" ht="13.5" customHeight="1" x14ac:dyDescent="0.2">
      <c r="B36" s="2"/>
    </row>
    <row r="37" spans="2:2" ht="13.5" customHeight="1" x14ac:dyDescent="0.2">
      <c r="B37" s="2"/>
    </row>
    <row r="38" spans="2:2" ht="13.5" customHeight="1" x14ac:dyDescent="0.2">
      <c r="B38" s="2"/>
    </row>
  </sheetData>
  <mergeCells count="4">
    <mergeCell ref="M4:M5"/>
    <mergeCell ref="K4:K5"/>
    <mergeCell ref="L4:L5"/>
    <mergeCell ref="J4:J5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showGridLines="0" zoomScaleNormal="100" workbookViewId="0"/>
  </sheetViews>
  <sheetFormatPr defaultColWidth="9" defaultRowHeight="13.5" customHeight="1" x14ac:dyDescent="0.2"/>
  <cols>
    <col min="1" max="1" width="37.69921875" style="2" customWidth="1"/>
    <col min="2" max="4" width="13.5" style="2" customWidth="1"/>
    <col min="5" max="6" width="9" style="2"/>
    <col min="7" max="7" width="13.09765625" style="2" customWidth="1"/>
    <col min="8" max="8" width="24.3984375" style="2" customWidth="1"/>
    <col min="9" max="11" width="12.59765625" style="2" customWidth="1"/>
    <col min="12" max="12" width="22.796875" style="2" customWidth="1"/>
    <col min="13" max="15" width="12.69921875" style="2" customWidth="1"/>
    <col min="16" max="16384" width="9" style="2"/>
  </cols>
  <sheetData>
    <row r="1" spans="1:13" ht="13.5" customHeight="1" x14ac:dyDescent="0.2">
      <c r="A1" s="16" t="s">
        <v>127</v>
      </c>
      <c r="B1" s="3"/>
      <c r="F1" s="83" t="s">
        <v>123</v>
      </c>
    </row>
    <row r="2" spans="1:13" ht="13.2" customHeight="1" x14ac:dyDescent="0.25">
      <c r="A2" s="116" t="s">
        <v>143</v>
      </c>
      <c r="B2" s="3"/>
    </row>
    <row r="3" spans="1:13" ht="13.5" customHeight="1" x14ac:dyDescent="0.25">
      <c r="B3" s="3"/>
      <c r="H3" s="105" t="s">
        <v>139</v>
      </c>
      <c r="L3" s="105"/>
      <c r="M3"/>
    </row>
    <row r="4" spans="1:13" ht="13.5" customHeight="1" x14ac:dyDescent="0.2">
      <c r="H4" s="155" t="s">
        <v>29</v>
      </c>
      <c r="I4" s="153" t="s">
        <v>68</v>
      </c>
      <c r="J4" s="153" t="s">
        <v>71</v>
      </c>
      <c r="K4" s="153" t="s">
        <v>70</v>
      </c>
    </row>
    <row r="5" spans="1:13" ht="36" customHeight="1" x14ac:dyDescent="0.2">
      <c r="H5" s="156"/>
      <c r="I5" s="154"/>
      <c r="J5" s="154"/>
      <c r="K5" s="154"/>
    </row>
    <row r="6" spans="1:13" ht="13.5" customHeight="1" x14ac:dyDescent="0.25">
      <c r="H6" s="123" t="s">
        <v>14</v>
      </c>
      <c r="I6" s="120">
        <v>1995820860.5700026</v>
      </c>
      <c r="J6" s="120">
        <v>3602646850.3000002</v>
      </c>
      <c r="K6" s="120">
        <v>2014927395.9300005</v>
      </c>
    </row>
    <row r="7" spans="1:13" ht="13.5" customHeight="1" x14ac:dyDescent="0.2">
      <c r="H7" s="108" t="s">
        <v>61</v>
      </c>
      <c r="I7" s="118">
        <v>968227688.64000034</v>
      </c>
      <c r="J7" s="118">
        <v>2620050574.9499998</v>
      </c>
      <c r="K7" s="118">
        <v>1529551283.2300007</v>
      </c>
    </row>
    <row r="8" spans="1:13" ht="13.5" customHeight="1" x14ac:dyDescent="0.2">
      <c r="H8" s="108" t="s">
        <v>63</v>
      </c>
      <c r="I8" s="118">
        <v>855382831.84999812</v>
      </c>
      <c r="J8" s="118">
        <v>146728613.43999997</v>
      </c>
      <c r="K8" s="118">
        <v>345668808.21000022</v>
      </c>
    </row>
    <row r="9" spans="1:13" ht="13.5" customHeight="1" x14ac:dyDescent="0.2">
      <c r="H9" s="108" t="s">
        <v>69</v>
      </c>
      <c r="I9" s="118">
        <v>155535.01</v>
      </c>
      <c r="J9" s="118">
        <v>292267096.46000004</v>
      </c>
      <c r="K9" s="118">
        <v>11345631.539999997</v>
      </c>
    </row>
    <row r="10" spans="1:13" ht="13.5" customHeight="1" x14ac:dyDescent="0.2">
      <c r="H10" s="108" t="s">
        <v>33</v>
      </c>
      <c r="I10" s="118">
        <v>172054805.06999993</v>
      </c>
      <c r="J10" s="118">
        <v>543600565.45000005</v>
      </c>
      <c r="K10" s="118">
        <v>128361672.94999982</v>
      </c>
    </row>
    <row r="11" spans="1:13" ht="13.5" customHeight="1" x14ac:dyDescent="0.25">
      <c r="H11" s="122" t="s">
        <v>74</v>
      </c>
      <c r="I11" s="124"/>
      <c r="J11" s="124"/>
      <c r="K11" s="124"/>
    </row>
    <row r="12" spans="1:13" ht="13.5" customHeight="1" x14ac:dyDescent="0.2">
      <c r="H12" s="108" t="s">
        <v>61</v>
      </c>
      <c r="I12" s="113">
        <v>0.48512755216090708</v>
      </c>
      <c r="J12" s="113">
        <v>0.72725712061725467</v>
      </c>
      <c r="K12" s="113">
        <v>0.75910987478733849</v>
      </c>
    </row>
    <row r="13" spans="1:13" ht="13.5" customHeight="1" x14ac:dyDescent="0.2">
      <c r="H13" s="108" t="s">
        <v>63</v>
      </c>
      <c r="I13" s="114">
        <v>0.4285869782950873</v>
      </c>
      <c r="J13" s="114">
        <v>4.0728003475495121E-2</v>
      </c>
      <c r="K13" s="114">
        <v>0.17155397703571096</v>
      </c>
    </row>
    <row r="14" spans="1:13" ht="13.5" customHeight="1" x14ac:dyDescent="0.2">
      <c r="H14" s="108" t="s">
        <v>69</v>
      </c>
      <c r="I14" s="114">
        <v>7.7930345890652486E-5</v>
      </c>
      <c r="J14" s="114">
        <v>8.1125658052124183E-2</v>
      </c>
      <c r="K14" s="114">
        <v>5.6307892596613191E-3</v>
      </c>
    </row>
    <row r="15" spans="1:13" ht="13.5" customHeight="1" x14ac:dyDescent="0.2">
      <c r="H15" s="108" t="s">
        <v>33</v>
      </c>
      <c r="I15" s="114">
        <v>8.6207539198112915E-2</v>
      </c>
      <c r="J15" s="114">
        <v>0.15088921785512593</v>
      </c>
      <c r="K15" s="114">
        <v>6.3705358917289331E-2</v>
      </c>
    </row>
    <row r="23" spans="3:4" ht="13.5" customHeight="1" x14ac:dyDescent="0.2">
      <c r="C23" s="28"/>
      <c r="D23" s="28"/>
    </row>
    <row r="24" spans="3:4" ht="13.5" customHeight="1" x14ac:dyDescent="0.2">
      <c r="C24" s="28"/>
      <c r="D24" s="28"/>
    </row>
    <row r="25" spans="3:4" ht="13.5" customHeight="1" x14ac:dyDescent="0.2">
      <c r="C25" s="28"/>
      <c r="D25" s="28"/>
    </row>
    <row r="26" spans="3:4" ht="13.5" customHeight="1" x14ac:dyDescent="0.2">
      <c r="C26" s="28"/>
      <c r="D26" s="28"/>
    </row>
    <row r="27" spans="3:4" ht="13.5" customHeight="1" x14ac:dyDescent="0.2">
      <c r="C27" s="28"/>
      <c r="D27" s="28"/>
    </row>
    <row r="28" spans="3:4" ht="13.5" customHeight="1" x14ac:dyDescent="0.2">
      <c r="C28" s="28"/>
      <c r="D28" s="28"/>
    </row>
    <row r="29" spans="3:4" ht="13.5" customHeight="1" x14ac:dyDescent="0.2">
      <c r="C29" s="28"/>
      <c r="D29" s="28"/>
    </row>
    <row r="30" spans="3:4" ht="13.5" customHeight="1" x14ac:dyDescent="0.2">
      <c r="C30" s="28"/>
      <c r="D30" s="28"/>
    </row>
    <row r="31" spans="3:4" ht="13.5" customHeight="1" x14ac:dyDescent="0.2">
      <c r="C31" s="28"/>
      <c r="D31" s="28"/>
    </row>
    <row r="32" spans="3:4" ht="13.5" customHeight="1" x14ac:dyDescent="0.2">
      <c r="C32" s="28"/>
      <c r="D32" s="28"/>
    </row>
    <row r="33" spans="1:5" ht="13.5" customHeight="1" x14ac:dyDescent="0.2">
      <c r="C33" s="28"/>
      <c r="D33" s="28"/>
    </row>
    <row r="34" spans="1:5" ht="13.5" customHeight="1" x14ac:dyDescent="0.2">
      <c r="C34" s="28"/>
      <c r="D34" s="28"/>
    </row>
    <row r="35" spans="1:5" ht="13.5" customHeight="1" x14ac:dyDescent="0.2">
      <c r="C35" s="27"/>
      <c r="D35" s="27"/>
    </row>
    <row r="36" spans="1:5" ht="13.5" customHeight="1" x14ac:dyDescent="0.2">
      <c r="C36" s="27"/>
      <c r="D36" s="27"/>
    </row>
    <row r="37" spans="1:5" ht="13.5" customHeight="1" x14ac:dyDescent="0.2">
      <c r="C37" s="27"/>
      <c r="D37" s="27"/>
    </row>
    <row r="38" spans="1:5" ht="13.5" customHeight="1" x14ac:dyDescent="0.2">
      <c r="C38" s="27"/>
      <c r="D38" s="27"/>
    </row>
    <row r="39" spans="1:5" ht="13.5" customHeight="1" x14ac:dyDescent="0.2">
      <c r="C39" s="27"/>
      <c r="D39" s="27"/>
    </row>
    <row r="40" spans="1:5" ht="13.5" customHeight="1" x14ac:dyDescent="0.2">
      <c r="C40" s="27"/>
      <c r="D40" s="27"/>
    </row>
    <row r="43" spans="1:5" ht="13.5" customHeight="1" x14ac:dyDescent="0.25">
      <c r="A43" s="27"/>
      <c r="B43" s="60"/>
      <c r="C43" s="60"/>
      <c r="D43" s="60"/>
      <c r="E43" s="27"/>
    </row>
    <row r="44" spans="1:5" ht="13.5" customHeight="1" x14ac:dyDescent="0.2">
      <c r="A44" s="27"/>
      <c r="B44" s="61"/>
      <c r="C44" s="61"/>
      <c r="D44" s="62"/>
      <c r="E44" s="27"/>
    </row>
    <row r="45" spans="1:5" ht="13.5" customHeight="1" x14ac:dyDescent="0.2">
      <c r="A45" s="27"/>
      <c r="B45" s="62"/>
      <c r="C45" s="62"/>
      <c r="D45" s="62"/>
      <c r="E45" s="27"/>
    </row>
    <row r="46" spans="1:5" ht="13.5" customHeight="1" x14ac:dyDescent="0.2">
      <c r="A46" s="27"/>
      <c r="B46" s="62"/>
      <c r="C46" s="62"/>
      <c r="D46" s="62"/>
      <c r="E46" s="27"/>
    </row>
    <row r="60" spans="2:4" ht="13.5" customHeight="1" x14ac:dyDescent="0.2">
      <c r="B60" s="59"/>
      <c r="C60" s="59"/>
      <c r="D60" s="59"/>
    </row>
    <row r="61" spans="2:4" ht="13.5" customHeight="1" x14ac:dyDescent="0.2">
      <c r="B61" s="59"/>
      <c r="C61" s="59"/>
      <c r="D61" s="59"/>
    </row>
    <row r="62" spans="2:4" ht="13.5" customHeight="1" x14ac:dyDescent="0.2">
      <c r="B62" s="59"/>
      <c r="C62" s="59"/>
      <c r="D62" s="59"/>
    </row>
    <row r="63" spans="2:4" ht="13.5" customHeight="1" x14ac:dyDescent="0.2">
      <c r="B63" s="59"/>
      <c r="C63" s="59"/>
      <c r="D63" s="59"/>
    </row>
    <row r="102" spans="7:7" ht="13.5" customHeight="1" x14ac:dyDescent="0.25">
      <c r="G102" s="20"/>
    </row>
    <row r="103" spans="7:7" ht="13.5" customHeight="1" x14ac:dyDescent="0.2">
      <c r="G103" s="15"/>
    </row>
    <row r="104" spans="7:7" ht="13.5" customHeight="1" x14ac:dyDescent="0.2">
      <c r="G104" s="15"/>
    </row>
    <row r="105" spans="7:7" ht="13.5" customHeight="1" x14ac:dyDescent="0.2">
      <c r="G105" s="15"/>
    </row>
    <row r="106" spans="7:7" ht="13.5" customHeight="1" x14ac:dyDescent="0.2">
      <c r="G106" s="15"/>
    </row>
    <row r="107" spans="7:7" ht="13.5" customHeight="1" x14ac:dyDescent="0.2">
      <c r="G107" s="15"/>
    </row>
    <row r="108" spans="7:7" ht="13.5" customHeight="1" x14ac:dyDescent="0.2">
      <c r="G108" s="15"/>
    </row>
    <row r="109" spans="7:7" ht="13.5" customHeight="1" x14ac:dyDescent="0.2">
      <c r="G109" s="15"/>
    </row>
    <row r="110" spans="7:7" ht="13.5" customHeight="1" x14ac:dyDescent="0.2">
      <c r="G110" s="15"/>
    </row>
    <row r="111" spans="7:7" ht="13.5" customHeight="1" x14ac:dyDescent="0.2">
      <c r="G111" s="15"/>
    </row>
    <row r="140" ht="38.25" customHeight="1" x14ac:dyDescent="0.2"/>
  </sheetData>
  <mergeCells count="4">
    <mergeCell ref="K4:K5"/>
    <mergeCell ref="H4:H5"/>
    <mergeCell ref="I4:I5"/>
    <mergeCell ref="J4:J5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showGridLines="0" zoomScaleNormal="100" workbookViewId="0"/>
  </sheetViews>
  <sheetFormatPr defaultColWidth="9" defaultRowHeight="13.5" customHeight="1" x14ac:dyDescent="0.2"/>
  <cols>
    <col min="1" max="1" width="10.59765625" style="2" customWidth="1"/>
    <col min="2" max="8" width="13.5" style="2" customWidth="1"/>
    <col min="9" max="9" width="13.3984375" style="2" customWidth="1"/>
    <col min="10" max="10" width="10.5" style="2" customWidth="1"/>
    <col min="11" max="11" width="24.3984375" style="2" customWidth="1"/>
    <col min="12" max="15" width="12.59765625" style="2" customWidth="1"/>
    <col min="16" max="16" width="22.796875" style="2" customWidth="1"/>
    <col min="17" max="20" width="12.69921875" style="2" customWidth="1"/>
    <col min="21" max="16384" width="9" style="2"/>
  </cols>
  <sheetData>
    <row r="1" spans="1:15" ht="13.5" customHeight="1" x14ac:dyDescent="0.2">
      <c r="A1" s="16" t="s">
        <v>127</v>
      </c>
      <c r="C1" s="3"/>
      <c r="F1" s="83" t="s">
        <v>123</v>
      </c>
    </row>
    <row r="2" spans="1:15" ht="13.5" customHeight="1" x14ac:dyDescent="0.2">
      <c r="A2" s="115" t="s">
        <v>133</v>
      </c>
      <c r="C2" s="3"/>
    </row>
    <row r="4" spans="1:15" ht="13.5" customHeight="1" x14ac:dyDescent="0.25">
      <c r="K4" s="105" t="s">
        <v>138</v>
      </c>
      <c r="L4"/>
      <c r="M4"/>
    </row>
    <row r="5" spans="1:15" ht="53.25" customHeight="1" x14ac:dyDescent="0.2">
      <c r="K5" s="151" t="s">
        <v>29</v>
      </c>
      <c r="L5" s="153" t="s">
        <v>148</v>
      </c>
      <c r="M5" s="153" t="s">
        <v>26</v>
      </c>
      <c r="N5" s="148" t="s">
        <v>73</v>
      </c>
      <c r="O5" s="153" t="s">
        <v>72</v>
      </c>
    </row>
    <row r="6" spans="1:15" ht="13.5" customHeight="1" x14ac:dyDescent="0.2">
      <c r="K6" s="152"/>
      <c r="L6" s="154"/>
      <c r="M6" s="157"/>
      <c r="N6" s="149"/>
      <c r="O6" s="154"/>
    </row>
    <row r="7" spans="1:15" ht="13.5" customHeight="1" x14ac:dyDescent="0.25">
      <c r="K7" s="119" t="s">
        <v>150</v>
      </c>
      <c r="L7" s="125">
        <v>118515517.30999999</v>
      </c>
      <c r="M7" s="125">
        <v>29235186.319999997</v>
      </c>
      <c r="N7" s="125">
        <v>1867262923.0600002</v>
      </c>
      <c r="O7" s="125">
        <v>1725252152.1200001</v>
      </c>
    </row>
    <row r="8" spans="1:15" ht="13.5" customHeight="1" x14ac:dyDescent="0.2">
      <c r="K8" s="106" t="s">
        <v>66</v>
      </c>
      <c r="L8" s="117">
        <v>54745092.350000016</v>
      </c>
      <c r="M8" s="117">
        <v>19532199.850000001</v>
      </c>
      <c r="N8" s="117">
        <v>930048151.73000014</v>
      </c>
      <c r="O8" s="117">
        <v>908470198.04999995</v>
      </c>
    </row>
    <row r="9" spans="1:15" ht="13.5" customHeight="1" x14ac:dyDescent="0.2">
      <c r="K9" s="108" t="s">
        <v>17</v>
      </c>
      <c r="L9" s="117">
        <v>1972988.24</v>
      </c>
      <c r="M9" s="117">
        <v>775678.2</v>
      </c>
      <c r="N9" s="117">
        <v>246819441.88999999</v>
      </c>
      <c r="O9" s="117">
        <v>142527400.39999998</v>
      </c>
    </row>
    <row r="10" spans="1:15" ht="13.5" customHeight="1" x14ac:dyDescent="0.2">
      <c r="K10" s="108" t="s">
        <v>18</v>
      </c>
      <c r="L10" s="117">
        <v>688933.08000000007</v>
      </c>
      <c r="M10" s="117">
        <v>166618.78</v>
      </c>
      <c r="N10" s="117">
        <v>189026768.97</v>
      </c>
      <c r="O10" s="117">
        <v>196084074.2100001</v>
      </c>
    </row>
    <row r="11" spans="1:15" ht="13.5" customHeight="1" x14ac:dyDescent="0.2">
      <c r="K11" s="112" t="s">
        <v>64</v>
      </c>
      <c r="L11" s="117">
        <v>9887231.7700000014</v>
      </c>
      <c r="M11" s="117">
        <v>1067954.01</v>
      </c>
      <c r="N11" s="117">
        <v>12893493.48</v>
      </c>
      <c r="O11" s="117">
        <v>11954432.699999999</v>
      </c>
    </row>
    <row r="12" spans="1:15" ht="13.5" customHeight="1" x14ac:dyDescent="0.2">
      <c r="A12" s="22"/>
      <c r="B12" s="22"/>
      <c r="C12" s="22"/>
      <c r="K12" s="111" t="s">
        <v>122</v>
      </c>
      <c r="L12" s="117">
        <v>10443686.689999998</v>
      </c>
      <c r="M12" s="117">
        <v>1375044.02</v>
      </c>
      <c r="N12" s="117">
        <v>48136565.049999997</v>
      </c>
      <c r="O12" s="117">
        <v>46635326.649999999</v>
      </c>
    </row>
    <row r="13" spans="1:15" ht="13.5" customHeight="1" x14ac:dyDescent="0.25">
      <c r="A13" s="29"/>
      <c r="B13" s="22"/>
      <c r="C13" s="22"/>
      <c r="K13" s="109" t="s">
        <v>67</v>
      </c>
      <c r="L13" s="117">
        <v>40777585.180000007</v>
      </c>
      <c r="M13" s="117">
        <v>6317691.459999999</v>
      </c>
      <c r="N13" s="117">
        <v>440338501.93999994</v>
      </c>
      <c r="O13" s="117">
        <v>419580720.11000001</v>
      </c>
    </row>
    <row r="14" spans="1:15" ht="13.5" customHeight="1" x14ac:dyDescent="0.25">
      <c r="A14" s="24"/>
      <c r="B14" s="22"/>
      <c r="C14" s="22"/>
      <c r="K14" s="122" t="s">
        <v>74</v>
      </c>
      <c r="L14" s="124"/>
      <c r="M14" s="124"/>
      <c r="N14" s="124"/>
      <c r="O14" s="122"/>
    </row>
    <row r="15" spans="1:15" ht="13.5" customHeight="1" x14ac:dyDescent="0.2">
      <c r="A15" s="22"/>
      <c r="B15" s="22"/>
      <c r="C15" s="22"/>
      <c r="K15" s="106" t="s">
        <v>66</v>
      </c>
      <c r="L15" s="107">
        <v>0.46192341384971358</v>
      </c>
      <c r="M15" s="107">
        <v>0.66810587886138717</v>
      </c>
      <c r="N15" s="107">
        <v>0.49808098272838419</v>
      </c>
      <c r="O15" s="107">
        <v>0.52657241837586832</v>
      </c>
    </row>
    <row r="16" spans="1:15" ht="13.5" customHeight="1" x14ac:dyDescent="0.2">
      <c r="A16" s="22"/>
      <c r="B16" s="22"/>
      <c r="C16" s="22"/>
      <c r="K16" s="108" t="s">
        <v>17</v>
      </c>
      <c r="L16" s="107">
        <v>1.6647509834845274E-2</v>
      </c>
      <c r="M16" s="107">
        <v>2.6532350145117872E-2</v>
      </c>
      <c r="N16" s="107">
        <v>0.13218247887957929</v>
      </c>
      <c r="O16" s="107">
        <v>8.2612504047516452E-2</v>
      </c>
    </row>
    <row r="17" spans="1:15" ht="13.5" customHeight="1" x14ac:dyDescent="0.2">
      <c r="A17" s="22"/>
      <c r="B17" s="22"/>
      <c r="C17" s="22"/>
      <c r="K17" s="108" t="s">
        <v>18</v>
      </c>
      <c r="L17" s="107">
        <v>5.813020063845006E-3</v>
      </c>
      <c r="M17" s="107">
        <v>5.6992549380817494E-3</v>
      </c>
      <c r="N17" s="107">
        <v>0.10123200468214195</v>
      </c>
      <c r="O17" s="107">
        <v>0.1136553134966682</v>
      </c>
    </row>
    <row r="18" spans="1:15" ht="13.5" customHeight="1" x14ac:dyDescent="0.2">
      <c r="A18" s="22"/>
      <c r="B18" s="22"/>
      <c r="C18" s="22"/>
      <c r="K18" s="112" t="s">
        <v>64</v>
      </c>
      <c r="L18" s="107">
        <v>8.3425630621330849E-2</v>
      </c>
      <c r="M18" s="107">
        <v>3.6529748718221962E-2</v>
      </c>
      <c r="N18" s="107">
        <v>6.9050230263612948E-3</v>
      </c>
      <c r="O18" s="107">
        <v>6.929093051882486E-3</v>
      </c>
    </row>
    <row r="19" spans="1:15" ht="13.5" customHeight="1" x14ac:dyDescent="0.2">
      <c r="A19" s="22"/>
      <c r="B19" s="22"/>
      <c r="C19" s="22"/>
      <c r="K19" s="111" t="s">
        <v>122</v>
      </c>
      <c r="L19" s="107">
        <v>8.8120837904141602E-2</v>
      </c>
      <c r="M19" s="107">
        <v>4.7033872298577507E-2</v>
      </c>
      <c r="N19" s="107">
        <v>2.5779211087807393E-2</v>
      </c>
      <c r="O19" s="107">
        <v>2.7031020707723351E-2</v>
      </c>
    </row>
    <row r="20" spans="1:15" ht="13.5" customHeight="1" x14ac:dyDescent="0.2">
      <c r="A20" s="22"/>
      <c r="B20" s="22"/>
      <c r="C20" s="22"/>
      <c r="K20" s="109" t="s">
        <v>67</v>
      </c>
      <c r="L20" s="110">
        <v>0.344069587726124</v>
      </c>
      <c r="M20" s="110">
        <v>0.21609889503861385</v>
      </c>
      <c r="N20" s="110">
        <v>0.23582029959572581</v>
      </c>
      <c r="O20" s="110">
        <v>0.24319965032034113</v>
      </c>
    </row>
    <row r="21" spans="1:15" ht="13.5" customHeight="1" x14ac:dyDescent="0.2">
      <c r="A21" s="22"/>
      <c r="B21" s="22"/>
      <c r="K21" s="2" t="s">
        <v>65</v>
      </c>
    </row>
    <row r="22" spans="1:15" ht="13.5" customHeight="1" x14ac:dyDescent="0.2">
      <c r="A22" s="22"/>
      <c r="C22" s="22"/>
    </row>
    <row r="23" spans="1:15" ht="13.5" customHeight="1" x14ac:dyDescent="0.2">
      <c r="A23" s="22"/>
      <c r="B23" s="22"/>
      <c r="C23" s="22"/>
    </row>
    <row r="24" spans="1:15" ht="13.5" customHeight="1" x14ac:dyDescent="0.2">
      <c r="B24" s="2" t="s">
        <v>65</v>
      </c>
    </row>
    <row r="25" spans="1:15" ht="13.5" customHeight="1" x14ac:dyDescent="0.2">
      <c r="A25" s="22"/>
    </row>
    <row r="26" spans="1:15" ht="13.5" customHeight="1" x14ac:dyDescent="0.2">
      <c r="A26" s="22"/>
    </row>
    <row r="27" spans="1:15" ht="13.5" customHeight="1" x14ac:dyDescent="0.2">
      <c r="A27" s="22"/>
    </row>
    <row r="28" spans="1:15" ht="13.5" customHeight="1" x14ac:dyDescent="0.2">
      <c r="A28" s="22"/>
    </row>
    <row r="29" spans="1:15" ht="13.5" customHeight="1" x14ac:dyDescent="0.2">
      <c r="A29" s="22"/>
    </row>
    <row r="30" spans="1:15" ht="13.5" customHeight="1" x14ac:dyDescent="0.2">
      <c r="E30" s="22"/>
      <c r="F30" s="22"/>
    </row>
    <row r="31" spans="1:15" ht="13.5" customHeight="1" x14ac:dyDescent="0.2">
      <c r="E31" s="22"/>
      <c r="F31" s="22"/>
    </row>
    <row r="32" spans="1:15" ht="13.5" customHeight="1" x14ac:dyDescent="0.2">
      <c r="E32" s="22"/>
      <c r="F32" s="22"/>
    </row>
    <row r="33" spans="5:6" ht="13.5" customHeight="1" x14ac:dyDescent="0.2">
      <c r="E33" s="22"/>
      <c r="F33" s="22"/>
    </row>
    <row r="34" spans="5:6" ht="13.5" customHeight="1" x14ac:dyDescent="0.2">
      <c r="E34" s="22"/>
      <c r="F34" s="22"/>
    </row>
    <row r="37" spans="5:6" ht="13.5" customHeight="1" x14ac:dyDescent="0.2">
      <c r="F37" s="25"/>
    </row>
  </sheetData>
  <mergeCells count="5">
    <mergeCell ref="O5:O6"/>
    <mergeCell ref="M5:M6"/>
    <mergeCell ref="K5:K6"/>
    <mergeCell ref="L5:L6"/>
    <mergeCell ref="N5:N6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"/>
  <sheetViews>
    <sheetView showGridLines="0" zoomScaleNormal="100" workbookViewId="0"/>
  </sheetViews>
  <sheetFormatPr defaultColWidth="9" defaultRowHeight="13.5" customHeight="1" x14ac:dyDescent="0.2"/>
  <cols>
    <col min="1" max="1" width="12" style="2" customWidth="1"/>
    <col min="2" max="5" width="13.5" style="2" customWidth="1"/>
    <col min="6" max="8" width="9" style="2"/>
    <col min="9" max="9" width="21.59765625" style="2" customWidth="1"/>
    <col min="10" max="10" width="24.3984375" style="2" customWidth="1"/>
    <col min="11" max="14" width="12.59765625" style="2" customWidth="1"/>
    <col min="15" max="15" width="22.796875" style="2" customWidth="1"/>
    <col min="16" max="19" width="12.69921875" style="2" customWidth="1"/>
    <col min="20" max="16384" width="9" style="2"/>
  </cols>
  <sheetData>
    <row r="1" spans="1:14" ht="13.5" customHeight="1" x14ac:dyDescent="0.2">
      <c r="A1" s="16" t="s">
        <v>127</v>
      </c>
      <c r="C1" s="3"/>
      <c r="F1" s="83" t="s">
        <v>123</v>
      </c>
    </row>
    <row r="2" spans="1:14" ht="13.5" customHeight="1" x14ac:dyDescent="0.25">
      <c r="A2" s="29" t="s">
        <v>134</v>
      </c>
      <c r="C2" s="3"/>
      <c r="K2" s="19"/>
    </row>
    <row r="3" spans="1:14" ht="13.5" customHeight="1" x14ac:dyDescent="0.2">
      <c r="F3" s="22"/>
    </row>
    <row r="4" spans="1:14" ht="13.5" customHeight="1" x14ac:dyDescent="0.25">
      <c r="F4" s="22"/>
      <c r="J4" s="105" t="s">
        <v>140</v>
      </c>
      <c r="K4"/>
    </row>
    <row r="5" spans="1:14" ht="42" customHeight="1" x14ac:dyDescent="0.2">
      <c r="F5" s="22"/>
      <c r="J5" s="151" t="s">
        <v>29</v>
      </c>
      <c r="K5" s="153" t="s">
        <v>148</v>
      </c>
      <c r="L5" s="148" t="s">
        <v>26</v>
      </c>
      <c r="M5" s="148" t="s">
        <v>73</v>
      </c>
      <c r="N5" s="148" t="s">
        <v>72</v>
      </c>
    </row>
    <row r="6" spans="1:14" ht="13.5" customHeight="1" x14ac:dyDescent="0.2">
      <c r="F6" s="22"/>
      <c r="J6" s="152"/>
      <c r="K6" s="154"/>
      <c r="L6" s="149"/>
      <c r="M6" s="149"/>
      <c r="N6" s="149"/>
    </row>
    <row r="7" spans="1:14" ht="13.5" customHeight="1" x14ac:dyDescent="0.25">
      <c r="J7" s="123" t="s">
        <v>14</v>
      </c>
      <c r="K7" s="120">
        <v>125148302.39999999</v>
      </c>
      <c r="L7" s="120">
        <v>30546815.009999998</v>
      </c>
      <c r="M7" s="120">
        <v>1737494810.01</v>
      </c>
      <c r="N7" s="120">
        <v>1709456922.8799999</v>
      </c>
    </row>
    <row r="8" spans="1:14" ht="13.5" customHeight="1" x14ac:dyDescent="0.2">
      <c r="J8" s="108" t="s">
        <v>61</v>
      </c>
      <c r="K8" s="118">
        <v>51870197.43</v>
      </c>
      <c r="L8" s="118">
        <v>24779525.619999997</v>
      </c>
      <c r="M8" s="118">
        <v>1139437880.8500001</v>
      </c>
      <c r="N8" s="118">
        <v>1403962971.0499997</v>
      </c>
    </row>
    <row r="9" spans="1:14" ht="13.5" customHeight="1" x14ac:dyDescent="0.2">
      <c r="J9" s="108" t="s">
        <v>63</v>
      </c>
      <c r="K9" s="118">
        <v>54625850.399999999</v>
      </c>
      <c r="L9" s="118">
        <v>359907.47</v>
      </c>
      <c r="M9" s="118">
        <v>49710446.50999999</v>
      </c>
      <c r="N9" s="118">
        <v>42032409.059999973</v>
      </c>
    </row>
    <row r="10" spans="1:14" ht="13.5" customHeight="1" x14ac:dyDescent="0.2">
      <c r="J10" s="108" t="s">
        <v>69</v>
      </c>
      <c r="K10" s="118">
        <v>1580689.1</v>
      </c>
      <c r="L10" s="118">
        <v>405468.53</v>
      </c>
      <c r="M10" s="118">
        <v>279197556.08000004</v>
      </c>
      <c r="N10" s="118">
        <v>11083382.749999998</v>
      </c>
    </row>
    <row r="11" spans="1:14" ht="13.5" customHeight="1" x14ac:dyDescent="0.2">
      <c r="J11" s="108" t="s">
        <v>33</v>
      </c>
      <c r="K11" s="118">
        <v>17071565.469999999</v>
      </c>
      <c r="L11" s="118">
        <v>5001913.3899999997</v>
      </c>
      <c r="M11" s="118">
        <v>269148926.56999999</v>
      </c>
      <c r="N11" s="118">
        <v>252378160.01999998</v>
      </c>
    </row>
    <row r="12" spans="1:14" ht="13.5" customHeight="1" x14ac:dyDescent="0.25">
      <c r="J12" s="122" t="s">
        <v>74</v>
      </c>
      <c r="K12" s="124"/>
      <c r="L12" s="124"/>
      <c r="M12" s="124"/>
      <c r="N12" s="122"/>
    </row>
    <row r="13" spans="1:14" ht="13.5" customHeight="1" x14ac:dyDescent="0.2">
      <c r="J13" s="108" t="s">
        <v>61</v>
      </c>
      <c r="K13" s="113">
        <v>0.41446984445871321</v>
      </c>
      <c r="L13" s="113">
        <v>0.81119833972504218</v>
      </c>
      <c r="M13" s="113">
        <v>0.65579354498528963</v>
      </c>
      <c r="N13" s="113">
        <v>0.82129181043338573</v>
      </c>
    </row>
    <row r="14" spans="1:14" ht="13.5" customHeight="1" x14ac:dyDescent="0.2">
      <c r="J14" s="108" t="s">
        <v>63</v>
      </c>
      <c r="K14" s="114">
        <v>0.43648894433585222</v>
      </c>
      <c r="L14" s="114">
        <v>1.1782160263915514E-2</v>
      </c>
      <c r="M14" s="114">
        <v>2.8610414387202621E-2</v>
      </c>
      <c r="N14" s="114">
        <v>2.4588165105199643E-2</v>
      </c>
    </row>
    <row r="15" spans="1:14" ht="13.5" customHeight="1" x14ac:dyDescent="0.2">
      <c r="J15" s="108" t="s">
        <v>69</v>
      </c>
      <c r="K15" s="114">
        <v>1.2630527699431265E-2</v>
      </c>
      <c r="L15" s="114">
        <v>1.3273676154691194E-2</v>
      </c>
      <c r="M15" s="114">
        <v>0.16068972089671632</v>
      </c>
      <c r="N15" s="114">
        <v>6.4835694902023733E-3</v>
      </c>
    </row>
    <row r="16" spans="1:14" ht="13.5" customHeight="1" x14ac:dyDescent="0.2">
      <c r="J16" s="108" t="s">
        <v>33</v>
      </c>
      <c r="K16" s="114">
        <v>0.13641068350600336</v>
      </c>
      <c r="L16" s="114">
        <v>0.16374582385635103</v>
      </c>
      <c r="M16" s="114">
        <v>0.15490631973079155</v>
      </c>
      <c r="N16" s="114">
        <v>0.14763645497121214</v>
      </c>
    </row>
    <row r="17" spans="2:12" ht="13.5" customHeight="1" x14ac:dyDescent="0.25">
      <c r="J17" s="2" t="s">
        <v>65</v>
      </c>
      <c r="K17"/>
      <c r="L17" s="38"/>
    </row>
    <row r="18" spans="2:12" ht="13.5" customHeight="1" x14ac:dyDescent="0.25">
      <c r="K18"/>
      <c r="L18" s="38"/>
    </row>
    <row r="19" spans="2:12" ht="13.5" customHeight="1" x14ac:dyDescent="0.25">
      <c r="K19"/>
      <c r="L19" s="38"/>
    </row>
    <row r="20" spans="2:12" ht="13.5" customHeight="1" x14ac:dyDescent="0.25">
      <c r="K20"/>
      <c r="L20" s="38"/>
    </row>
    <row r="23" spans="2:12" ht="13.5" customHeight="1" x14ac:dyDescent="0.2">
      <c r="F23" s="28"/>
    </row>
    <row r="24" spans="2:12" ht="13.5" customHeight="1" x14ac:dyDescent="0.2">
      <c r="F24" s="28"/>
    </row>
    <row r="25" spans="2:12" ht="13.5" customHeight="1" x14ac:dyDescent="0.2">
      <c r="F25" s="28"/>
    </row>
    <row r="26" spans="2:12" ht="13.5" customHeight="1" x14ac:dyDescent="0.2">
      <c r="F26" s="28"/>
    </row>
    <row r="27" spans="2:12" ht="13.5" customHeight="1" x14ac:dyDescent="0.2">
      <c r="F27" s="28"/>
    </row>
    <row r="28" spans="2:12" ht="13.5" customHeight="1" x14ac:dyDescent="0.2">
      <c r="F28" s="28"/>
    </row>
    <row r="29" spans="2:12" ht="13.5" customHeight="1" x14ac:dyDescent="0.2">
      <c r="B29" s="2" t="s">
        <v>65</v>
      </c>
      <c r="F29" s="28"/>
    </row>
    <row r="30" spans="2:12" ht="13.5" customHeight="1" x14ac:dyDescent="0.2">
      <c r="F30" s="28"/>
    </row>
    <row r="31" spans="2:12" ht="13.5" customHeight="1" x14ac:dyDescent="0.2">
      <c r="F31" s="28"/>
    </row>
    <row r="32" spans="2:12" ht="13.5" customHeight="1" x14ac:dyDescent="0.2">
      <c r="F32" s="28"/>
    </row>
    <row r="33" spans="6:6" ht="13.5" customHeight="1" x14ac:dyDescent="0.2">
      <c r="F33" s="28"/>
    </row>
    <row r="34" spans="6:6" ht="13.5" customHeight="1" x14ac:dyDescent="0.2">
      <c r="F34" s="28"/>
    </row>
    <row r="35" spans="6:6" ht="13.5" customHeight="1" x14ac:dyDescent="0.2">
      <c r="F35" s="27"/>
    </row>
    <row r="36" spans="6:6" ht="13.5" customHeight="1" x14ac:dyDescent="0.2">
      <c r="F36" s="27"/>
    </row>
    <row r="37" spans="6:6" ht="13.5" customHeight="1" x14ac:dyDescent="0.2">
      <c r="F37" s="27"/>
    </row>
    <row r="38" spans="6:6" ht="13.5" customHeight="1" x14ac:dyDescent="0.2">
      <c r="F38" s="27"/>
    </row>
    <row r="39" spans="6:6" ht="13.5" customHeight="1" x14ac:dyDescent="0.2">
      <c r="F39" s="27"/>
    </row>
    <row r="40" spans="6:6" ht="13.5" customHeight="1" x14ac:dyDescent="0.2">
      <c r="F40" s="27"/>
    </row>
    <row r="97" spans="10:15" ht="13.5" customHeight="1" x14ac:dyDescent="0.25">
      <c r="O97" s="20"/>
    </row>
    <row r="98" spans="10:15" ht="13.5" customHeight="1" x14ac:dyDescent="0.2">
      <c r="O98" s="15"/>
    </row>
    <row r="99" spans="10:15" ht="13.5" customHeight="1" x14ac:dyDescent="0.2">
      <c r="O99" s="15"/>
    </row>
    <row r="100" spans="10:15" ht="13.5" customHeight="1" x14ac:dyDescent="0.2">
      <c r="O100" s="15"/>
    </row>
    <row r="101" spans="10:15" ht="13.5" customHeight="1" x14ac:dyDescent="0.2">
      <c r="O101" s="15"/>
    </row>
    <row r="102" spans="10:15" ht="13.5" customHeight="1" x14ac:dyDescent="0.2">
      <c r="O102" s="15"/>
    </row>
    <row r="103" spans="10:15" ht="13.5" customHeight="1" x14ac:dyDescent="0.25">
      <c r="J103" s="20"/>
      <c r="K103" s="20"/>
      <c r="L103" s="20"/>
      <c r="M103" s="20"/>
      <c r="N103" s="20"/>
      <c r="O103" s="15"/>
    </row>
    <row r="104" spans="10:15" ht="13.5" customHeight="1" x14ac:dyDescent="0.2">
      <c r="J104" s="15"/>
      <c r="K104" s="15"/>
      <c r="L104" s="15"/>
      <c r="M104" s="15"/>
      <c r="N104" s="15"/>
      <c r="O104" s="15"/>
    </row>
    <row r="105" spans="10:15" ht="13.5" customHeight="1" x14ac:dyDescent="0.2">
      <c r="J105" s="15"/>
      <c r="K105" s="15"/>
      <c r="L105" s="15"/>
      <c r="M105" s="15"/>
      <c r="N105" s="15"/>
      <c r="O105" s="15"/>
    </row>
    <row r="106" spans="10:15" ht="13.5" customHeight="1" x14ac:dyDescent="0.2">
      <c r="J106" s="15"/>
      <c r="K106" s="15"/>
      <c r="L106" s="15"/>
      <c r="M106" s="15"/>
      <c r="N106" s="15"/>
      <c r="O106" s="15"/>
    </row>
    <row r="107" spans="10:15" ht="13.5" customHeight="1" x14ac:dyDescent="0.2">
      <c r="J107" s="15"/>
      <c r="K107" s="15"/>
      <c r="L107" s="15"/>
      <c r="M107" s="15"/>
      <c r="N107" s="15"/>
    </row>
    <row r="108" spans="10:15" ht="13.5" customHeight="1" x14ac:dyDescent="0.2">
      <c r="J108" s="15"/>
      <c r="K108" s="15"/>
      <c r="L108" s="15"/>
      <c r="M108" s="15"/>
      <c r="N108" s="15"/>
    </row>
    <row r="109" spans="10:15" ht="13.5" customHeight="1" x14ac:dyDescent="0.2">
      <c r="J109" s="15"/>
      <c r="K109" s="15"/>
      <c r="L109" s="15"/>
      <c r="M109" s="15"/>
      <c r="N109" s="15"/>
    </row>
    <row r="110" spans="10:15" ht="13.5" customHeight="1" x14ac:dyDescent="0.2">
      <c r="J110" s="15"/>
      <c r="K110" s="15"/>
      <c r="L110" s="15"/>
      <c r="M110" s="15"/>
      <c r="N110" s="15"/>
    </row>
    <row r="111" spans="10:15" ht="13.5" customHeight="1" x14ac:dyDescent="0.2">
      <c r="J111" s="15"/>
      <c r="K111" s="15"/>
      <c r="L111" s="15"/>
      <c r="M111" s="15"/>
      <c r="N111" s="15"/>
    </row>
    <row r="112" spans="10:15" ht="13.5" customHeight="1" x14ac:dyDescent="0.2">
      <c r="J112" s="15"/>
      <c r="K112" s="15"/>
      <c r="L112" s="15"/>
      <c r="M112" s="15"/>
      <c r="N112" s="15"/>
    </row>
    <row r="115" spans="10:10" ht="13.5" customHeight="1" x14ac:dyDescent="0.2">
      <c r="J115" s="15"/>
    </row>
  </sheetData>
  <mergeCells count="5">
    <mergeCell ref="M5:M6"/>
    <mergeCell ref="N5:N6"/>
    <mergeCell ref="J5:J6"/>
    <mergeCell ref="K5:K6"/>
    <mergeCell ref="L5:L6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9</vt:i4>
      </vt:variant>
      <vt:variant>
        <vt:lpstr>Pomenované rozsahy</vt:lpstr>
      </vt:variant>
      <vt:variant>
        <vt:i4>2</vt:i4>
      </vt:variant>
    </vt:vector>
  </HeadingPairs>
  <TitlesOfParts>
    <vt:vector size="11" baseType="lpstr">
      <vt:lpstr>Obsah</vt:lpstr>
      <vt:lpstr>Meta</vt:lpstr>
      <vt:lpstr>T1</vt:lpstr>
      <vt:lpstr>T2</vt:lpstr>
      <vt:lpstr>T3</vt:lpstr>
      <vt:lpstr>G1</vt:lpstr>
      <vt:lpstr>G2</vt:lpstr>
      <vt:lpstr>G3</vt:lpstr>
      <vt:lpstr>G4</vt:lpstr>
      <vt:lpstr>'T2'!Oblasť_tlače</vt:lpstr>
      <vt:lpstr>'T3'!Oblasť_tlače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2021-01-29T11:12:26Z</dcterms:created>
  <dcterms:modified xsi:type="dcterms:W3CDTF">2023-12-21T08:39:09Z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