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ento_zošit"/>
  <bookViews>
    <workbookView xWindow="0" yWindow="0" windowWidth="15345" windowHeight="4545"/>
  </bookViews>
  <sheets>
    <sheet name="Obsah" sheetId="24" r:id="rId1"/>
    <sheet name="Meta" sheetId="18" r:id="rId2"/>
    <sheet name="T1" sheetId="19" r:id="rId3"/>
    <sheet name="T2" sheetId="2" r:id="rId4"/>
    <sheet name="T3" sheetId="3" r:id="rId5"/>
    <sheet name="G1" sheetId="20" r:id="rId6"/>
    <sheet name="G2" sheetId="21" r:id="rId7"/>
    <sheet name="G3" sheetId="22" r:id="rId8"/>
    <sheet name="G4" sheetId="23" r:id="rId9"/>
  </sheets>
  <definedNames>
    <definedName name="_xlnm.Print_Area" localSheetId="3">'T2'!$A$1:$F$38</definedName>
    <definedName name="_xlnm.Print_Area" localSheetId="4">'T3'!$A$1:$C$34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<sst xmlns="http://schemas.openxmlformats.org/spreadsheetml/2006/main" count="313" uniqueCount="152">
  <si>
    <t>MZ SR – nezisková organizácia</t>
  </si>
  <si>
    <t>MZ SR – akciová spoločnosť</t>
  </si>
  <si>
    <t>MZ SR – príspevková organizácia</t>
  </si>
  <si>
    <t xml:space="preserve">iný rezort – príspevková organizácia </t>
  </si>
  <si>
    <t>VÚC – nezisková organizácia</t>
  </si>
  <si>
    <t>VÚC – príspevková organizácia</t>
  </si>
  <si>
    <t>iný zriaďovateľ – živnostník, fyzická osoba</t>
  </si>
  <si>
    <t>iný zriaďovateľ – s. r. o.</t>
  </si>
  <si>
    <t>iný zriaďovateľ – nezisková organizácia</t>
  </si>
  <si>
    <t>iný zriaďovateľ – akciová spoločnosť</t>
  </si>
  <si>
    <t>iný zriaďovateľ – cirkevná organizácia</t>
  </si>
  <si>
    <t>Počet organizácií</t>
  </si>
  <si>
    <t>Náklady spolu (€)</t>
  </si>
  <si>
    <t>z toho na</t>
  </si>
  <si>
    <t>Výnosy spolu (€)</t>
  </si>
  <si>
    <t>mzdy</t>
  </si>
  <si>
    <t>odvody</t>
  </si>
  <si>
    <t>lieky</t>
  </si>
  <si>
    <t>zdravotnícke pomôcky</t>
  </si>
  <si>
    <t>odpisy</t>
  </si>
  <si>
    <t>spotrebu energie</t>
  </si>
  <si>
    <t xml:space="preserve">tržby od obyvateľstva </t>
  </si>
  <si>
    <t xml:space="preserve">z toho za lieky </t>
  </si>
  <si>
    <t>Slovenská republika</t>
  </si>
  <si>
    <t>všeobecné a špecializované nemocnice</t>
  </si>
  <si>
    <t>fakultné nemocnice</t>
  </si>
  <si>
    <t>liečebne</t>
  </si>
  <si>
    <t>Hospodársky výsledok (€)</t>
  </si>
  <si>
    <t>krv a krvné výrobky</t>
  </si>
  <si>
    <t>Ukazovateľ</t>
  </si>
  <si>
    <t>Spolu</t>
  </si>
  <si>
    <t>opravy a údržbu</t>
  </si>
  <si>
    <t>stravovanie pacientov</t>
  </si>
  <si>
    <t>ostatné výnosy</t>
  </si>
  <si>
    <t xml:space="preserve">tržby od zdravotných poisťovní </t>
  </si>
  <si>
    <t>prevádzkové dotácie od zriaďovateľa</t>
  </si>
  <si>
    <t>z toho zriaďovateľ a právna forma</t>
  </si>
  <si>
    <t>ostatnú hospodársko-technickú správu</t>
  </si>
  <si>
    <t>z toho za</t>
  </si>
  <si>
    <t>ukončené hospitalizácie</t>
  </si>
  <si>
    <t xml:space="preserve">ošetrovacie dni </t>
  </si>
  <si>
    <t>pripočítateľné položky</t>
  </si>
  <si>
    <t xml:space="preserve">body </t>
  </si>
  <si>
    <t>za lieky</t>
  </si>
  <si>
    <t>za zdravotnícke pomôcky</t>
  </si>
  <si>
    <t>za doplnkový sortiment lekární</t>
  </si>
  <si>
    <t>iné</t>
  </si>
  <si>
    <r>
      <t xml:space="preserve">ostatní ústavní PZS </t>
    </r>
    <r>
      <rPr>
        <vertAlign val="superscript"/>
        <sz val="9"/>
        <color theme="1"/>
        <rFont val="Arial"/>
        <family val="2"/>
        <charset val="238"/>
      </rPr>
      <t>2)</t>
    </r>
    <r>
      <rPr>
        <i/>
        <sz val="9"/>
        <color theme="1"/>
        <rFont val="Arial"/>
        <family val="2"/>
        <charset val="238"/>
      </rPr>
      <t/>
    </r>
  </si>
  <si>
    <t>Skupina poskytovateľa ústavnej zdravotnej starostlivosti</t>
  </si>
  <si>
    <t xml:space="preserve">z toho na </t>
  </si>
  <si>
    <t>doplnkový sortiment lekární</t>
  </si>
  <si>
    <t>pobyt v stacionári</t>
  </si>
  <si>
    <t>kapitáciu/paušál</t>
  </si>
  <si>
    <t>ambulantná zdravotná starostlivosť</t>
  </si>
  <si>
    <t>lekárenská starostlivosť</t>
  </si>
  <si>
    <t>Skupina poskytovateľa zdravotnej starostlivosti</t>
  </si>
  <si>
    <t>–</t>
  </si>
  <si>
    <t>iný zriaďovateľ – združenie (zväz, spolok)</t>
  </si>
  <si>
    <r>
      <rPr>
        <vertAlign val="superscript"/>
        <sz val="9"/>
        <color theme="1"/>
        <rFont val="Arial"/>
        <family val="2"/>
        <charset val="238"/>
      </rPr>
      <t>1)</t>
    </r>
    <r>
      <rPr>
        <sz val="9"/>
        <color theme="1"/>
        <rFont val="Arial"/>
        <family val="2"/>
        <charset val="238"/>
      </rPr>
      <t xml:space="preserve"> vykazovali vybraní poskytovatelia ústavnej zdravotnej starostlivosti zaradení do systému financovania prostredníctvom Diagnoses Related Groups (DRG) v zmysle metodických usmernení ÚDZS počas prechodného obdobia implementácie systému SK-DRG</t>
    </r>
  </si>
  <si>
    <r>
      <t xml:space="preserve">ukončené hospitalizačné prípady v zmysle DRG </t>
    </r>
    <r>
      <rPr>
        <vertAlign val="superscript"/>
        <sz val="9"/>
        <color theme="1"/>
        <rFont val="Arial"/>
        <family val="2"/>
        <charset val="238"/>
      </rPr>
      <t>1)</t>
    </r>
  </si>
  <si>
    <r>
      <rPr>
        <vertAlign val="superscript"/>
        <sz val="9"/>
        <rFont val="Arial"/>
        <family val="2"/>
        <charset val="238"/>
      </rPr>
      <t xml:space="preserve">2) </t>
    </r>
    <r>
      <rPr>
        <sz val="9"/>
        <rFont val="Arial"/>
        <family val="2"/>
        <charset val="238"/>
      </rPr>
      <t>kúpele, ozdravovne, hospice, domy ošetrovateľskej starostlivosti</t>
    </r>
  </si>
  <si>
    <t xml:space="preserve">mzdy a odvody </t>
  </si>
  <si>
    <t xml:space="preserve">lieky </t>
  </si>
  <si>
    <t>tržby od zdravotných poisťovní</t>
  </si>
  <si>
    <t>doplnkový sortiment lekárni</t>
  </si>
  <si>
    <t>tržby od obyvateľstva</t>
  </si>
  <si>
    <t xml:space="preserve">prevádzkové dotácie </t>
  </si>
  <si>
    <t xml:space="preserve">odpisy </t>
  </si>
  <si>
    <t xml:space="preserve">ostatné výnosy </t>
  </si>
  <si>
    <t xml:space="preserve">stravovanie pacientov </t>
  </si>
  <si>
    <t xml:space="preserve">oprava a údržba </t>
  </si>
  <si>
    <t xml:space="preserve">ostatné náklady </t>
  </si>
  <si>
    <r>
      <rPr>
        <vertAlign val="superscript"/>
        <sz val="9"/>
        <color theme="1"/>
        <rFont val="Arial"/>
        <family val="2"/>
        <charset val="238"/>
      </rPr>
      <t xml:space="preserve">1) </t>
    </r>
    <r>
      <rPr>
        <sz val="9"/>
        <color theme="1"/>
        <rFont val="Arial"/>
        <family val="2"/>
        <charset val="238"/>
      </rPr>
      <t>kúpele, ozdravovne, hospice, domy ošetrovateľskej starostlivosti</t>
    </r>
  </si>
  <si>
    <t>mzdy a odvody</t>
  </si>
  <si>
    <t>oprava a údržba</t>
  </si>
  <si>
    <t>ostatné náklady</t>
  </si>
  <si>
    <t>lekárenská
starostlivosť</t>
  </si>
  <si>
    <t>prevádzkové dotácie</t>
  </si>
  <si>
    <t>ambulantná
zdravotná
starostlivosť</t>
  </si>
  <si>
    <t>ústavná
zdravotná
starostlivosť</t>
  </si>
  <si>
    <t xml:space="preserve">všeobecné
a špecializované
nemocnice </t>
  </si>
  <si>
    <t>fakultné
nemocnice</t>
  </si>
  <si>
    <r>
      <t>ostatní
ústavní PZS</t>
    </r>
    <r>
      <rPr>
        <vertAlign val="superscript"/>
        <sz val="9"/>
        <color theme="1"/>
        <rFont val="Arial"/>
        <family val="2"/>
        <charset val="238"/>
      </rPr>
      <t xml:space="preserve"> 1)</t>
    </r>
  </si>
  <si>
    <t>Forma poskytovanej zdravotnej starostlivosti</t>
  </si>
  <si>
    <t>Podiel v %</t>
  </si>
  <si>
    <t>Metodické poznámky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</si>
  <si>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</si>
  <si>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</si>
  <si>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</si>
  <si>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</si>
  <si>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</si>
  <si>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</si>
  <si>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</si>
  <si>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</si>
  <si>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</si>
  <si>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</si>
  <si>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</si>
  <si>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</si>
  <si>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</si>
  <si>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</si>
  <si>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</si>
  <si>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</si>
  <si>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</si>
  <si>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</si>
  <si>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</si>
  <si>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</si>
  <si>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</si>
  <si>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</si>
  <si>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</si>
  <si>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© Národné centrum zdravotníckych informácií</t>
  </si>
  <si>
    <t>PZS</t>
  </si>
  <si>
    <t>Údaje o finančnom hospodárení organizácií pôsobiacich v zdravotníctve sú získavané na báze zisťovania ekonomiky nákladových stredísk – odborných útvarov.</t>
  </si>
  <si>
    <t>Zaradenie poskytovateľa zdravotnej starostlivosti do skupiny poskytovateľov v tabuľke T 2 a T 3 je na základe prevažujúcej činnosti daného PZS.</t>
  </si>
  <si>
    <t>Zoznam druhov právnej formy u jednotlivých zriaďovateľov v tabuľke T 1 nie je vyčerpávajúci. Uvedené sú len triedenia, v ktorých počet spravodajských jednotiek bol rovný alebo väčší ako 3 z dôvodu ochrany dôverných štatistických údajov spravodajských jednotiek.</t>
  </si>
  <si>
    <t>Názov</t>
  </si>
  <si>
    <t>Hárok</t>
  </si>
  <si>
    <t>tabuľka</t>
  </si>
  <si>
    <t>Meta</t>
  </si>
  <si>
    <t>T1</t>
  </si>
  <si>
    <t>graf</t>
  </si>
  <si>
    <t>T2</t>
  </si>
  <si>
    <t>T3</t>
  </si>
  <si>
    <t>G1</t>
  </si>
  <si>
    <t>G2</t>
  </si>
  <si>
    <t>G3</t>
  </si>
  <si>
    <t>G4</t>
  </si>
  <si>
    <t>Skratky</t>
  </si>
  <si>
    <t>poskytovateľ zdravotnej starostlivosti</t>
  </si>
  <si>
    <t>Ministerstvo zdravotníctva Slovenskej republiky</t>
  </si>
  <si>
    <t>MZ SR</t>
  </si>
  <si>
    <t>VÚC</t>
  </si>
  <si>
    <t>vyšší územný celok</t>
  </si>
  <si>
    <t>s. r. o.</t>
  </si>
  <si>
    <t>spoločnosť s ručením obmedzeným</t>
  </si>
  <si>
    <t>Ročný výkaz o ekonomike organizácií v zdravotníctve E (MZ SR) 2-01
Štvrťročný výkaz o ekonomike organizácií v zdravotníctve E (MZ SR) 1-04
Mesačný výkaz o ekonomike vybraných organizácií v zdravotníctve E (MZ SR) 3-12</t>
  </si>
  <si>
    <t>VÚC – s. r. o.</t>
  </si>
  <si>
    <t>spotreba energie</t>
  </si>
  <si>
    <t>Naspäť na obsah</t>
  </si>
  <si>
    <t>iný zriaďovateľ – zahraničná osoba</t>
  </si>
  <si>
    <t>Vybrané ekonomické ukazovatele v zdravotníctve v Slovenskej republike 2021</t>
  </si>
  <si>
    <t>T 1 Náklady, výnosy a hospodársky výsledok v organizáciách v zdravotníctve podľa zriaďovateľa a právnej formy v roku 2021</t>
  </si>
  <si>
    <t>T 2 Náklady, výnosy a hospodársky výsledok v zariadeniach ústavnej zdravotnej starostlivosti v roku 2021</t>
  </si>
  <si>
    <t>T 3 Náklady, výnosy a hospodársky výsledok v zariadeniach ambulantnej a lekárenskej zdravotnej starostlivosti v roku 2021</t>
  </si>
  <si>
    <t>G 1 Štruktúra nákladov podľa formy poskytovanej zdravotnej starostlivosti v roku 2021</t>
  </si>
  <si>
    <t>G 2 Štruktúra výnosov podľa formy poskytovanej zdravotnej starostlivosti v roku 2021</t>
  </si>
  <si>
    <t>G 3 Štruktúra nákladov v zariadeniach ústavnej zdravotnej starostlivosti v roku 2021</t>
  </si>
  <si>
    <t>G 4 Štruktúra výnosov v zariadeniach ústavnej zdravotnej starostlivosti v roku 2021</t>
  </si>
  <si>
    <t>Zdrojom údajov za rok 2021 sú štatistické zisťovania Ministerstva zdravotníctva SR:</t>
  </si>
  <si>
    <t>Dátum publikovania: december 2022</t>
  </si>
  <si>
    <t>Spravodajskými jednotkami sú organizácie pôsobiace v zdravotníctve na území SR:
- všetky príspevkové a neziskové organizácie a štátne akciové spoločnosti - poskytovatelia zdravotnej starostlivosti a poskytovatelia služieb súvisiacich s poskytovaním zdravotnej starostlivosti a ďalšie organizácie v zdravotníctve,
- neštátni poskytovatelia zdravotnej starostlivosti a poskytovatelia služieb súvisiacich s poskytovaním zdravotnej starostlivosti (mimo zubných technikov).
Výkaz predkladajú právnické, resp. fyzické osoby sumárne za všetky zdravotnícke zariadenia, ktoré prevádzkujú. Návratnosť výkazov od spravodajských jednotiek bola 79,93 %.</t>
  </si>
  <si>
    <t>výkony vrátane jednodňovej ZS</t>
  </si>
  <si>
    <t>iný rezort – akciová spoločnosť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</si>
</sst>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00"/>
    <numFmt numFmtId="166" formatCode="0.0%"/>
  </numFmts>
  <fonts count="35" x14ac:knownFonts="1">
    <font>
      <sz val="11"/>
      <color theme="1"/>
      <name val="Arial"/>
      <family val="2"/>
      <charset val="238"/>
      <scheme val="minor"/>
    </font>
    <font>
      <sz val="10"/>
      <color indexed="8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sz val="9"/>
      <name val="Arial"/>
      <family val="2"/>
      <charset val="238"/>
    </font>
    <font>
      <i/>
      <sz val="9"/>
      <name val="Arial"/>
      <family val="2"/>
      <charset val="238"/>
    </font>
    <font>
      <b/>
      <sz val="10"/>
      <name val="Arial"/>
      <family val="2"/>
      <charset val="238"/>
    </font>
    <font>
      <vertAlign val="superscript"/>
      <sz val="9"/>
      <color theme="1"/>
      <name val="Arial"/>
      <family val="2"/>
      <charset val="238"/>
    </font>
    <font>
      <sz val="10"/>
      <name val="Arial CE"/>
      <charset val="238"/>
    </font>
    <font>
      <sz val="11"/>
      <color theme="1"/>
      <name val="Arial"/>
      <family val="2"/>
      <scheme val="minor"/>
    </font>
    <font>
      <sz val="9"/>
      <color rgb="FFFF0000"/>
      <name val="Arial"/>
      <family val="2"/>
      <charset val="238"/>
    </font>
    <font>
      <sz val="10"/>
      <name val="Times New Roman"/>
      <family val="1"/>
      <charset val="238"/>
    </font>
    <font>
      <vertAlign val="superscript"/>
      <sz val="9"/>
      <name val="Arial"/>
      <family val="2"/>
      <charset val="238"/>
    </font>
    <font>
      <b/>
      <sz val="9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9"/>
      <name val="Arial"/>
      <family val="2"/>
      <charset val="238"/>
    </font>
    <font>
      <sz val="11"/>
      <color rgb="FF000000"/>
      <name val="Calibri"/>
      <family val="2"/>
    </font>
    <font>
      <u/>
      <sz val="9"/>
      <color rgb="FF0000FF"/>
      <name val="Arial"/>
      <family val="2"/>
      <charset val="238"/>
    </font>
    <font>
      <u/>
      <sz val="11"/>
      <color theme="10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sz val="9"/>
      <color theme="1"/>
      <name val="Webdings"/>
      <family val="1"/>
      <charset val="2"/>
    </font>
    <font>
      <sz val="10"/>
      <color rgb="FF000000"/>
      <name val="Arial"/>
      <family val="2"/>
      <charset val="238"/>
    </font>
    <font>
      <sz val="9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9"/>
      <color rgb="FF0000FF"/>
      <name val="Arial"/>
      <family val="2"/>
      <charset val="238"/>
      <scheme val="minor"/>
    </font>
    <font>
      <sz val="9"/>
      <color rgb="FF000000"/>
      <name val="Arial"/>
      <family val="2"/>
      <charset val="238"/>
    </font>
    <font>
      <sz val="10"/>
      <name val="MS Sans Serif"/>
      <charset val="238"/>
    </font>
    <font>
      <sz val="8"/>
      <color rgb="FF9C0006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5">
    <xf numFmtId="0" fontId="0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20" fillId="0" borderId="0" applyNumberFormat="0" applyBorder="0" applyAlignment="0"/>
    <xf numFmtId="0" fontId="10" fillId="0" borderId="0"/>
    <xf numFmtId="0" fontId="22" fillId="0" borderId="0" applyNumberFormat="0" applyFill="0" applyBorder="0" applyAlignment="0" applyProtection="0"/>
    <xf numFmtId="0" fontId="11" fillId="0" borderId="0"/>
    <xf numFmtId="0" fontId="25" fillId="0" borderId="0" applyNumberFormat="0" applyBorder="0" applyProtection="0"/>
    <xf numFmtId="9" fontId="2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3" fillId="0" borderId="0"/>
    <xf numFmtId="0" fontId="17" fillId="0" borderId="0"/>
    <xf numFmtId="0" fontId="34" fillId="7" borderId="0" applyNumberFormat="0" applyBorder="0" applyAlignment="0" applyProtection="0"/>
  </cellStyleXfs>
  <cellXfs count="171">
    <xf numFmtId="0" fontId="0" fillId="0" borderId="0" xfId="0"/>
    <xf numFmtId="0" fontId="2" fillId="0" borderId="0" xfId="0" applyFont="1" applyFill="1" applyBorder="1"/>
    <xf numFmtId="0" fontId="4" fillId="0" borderId="0" xfId="0" applyFont="1"/>
    <xf numFmtId="0" fontId="4" fillId="0" borderId="0" xfId="0" applyFont="1" applyFill="1"/>
    <xf numFmtId="3" fontId="7" fillId="0" borderId="0" xfId="1" applyNumberFormat="1" applyFont="1" applyFill="1" applyBorder="1" applyAlignment="1">
      <alignment horizontal="left"/>
    </xf>
    <xf numFmtId="3" fontId="4" fillId="0" borderId="0" xfId="0" applyNumberFormat="1" applyFont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6" fillId="0" borderId="0" xfId="0" applyFont="1" applyFill="1" applyBorder="1"/>
    <xf numFmtId="0" fontId="6" fillId="0" borderId="0" xfId="0" applyFont="1"/>
    <xf numFmtId="3" fontId="6" fillId="0" borderId="0" xfId="0" applyNumberFormat="1" applyFont="1" applyAlignment="1">
      <alignment horizontal="right"/>
    </xf>
    <xf numFmtId="3" fontId="6" fillId="0" borderId="0" xfId="0" applyNumberFormat="1" applyFont="1" applyBorder="1"/>
    <xf numFmtId="3" fontId="6" fillId="0" borderId="0" xfId="0" applyNumberFormat="1" applyFont="1" applyBorder="1" applyAlignment="1">
      <alignment horizontal="right"/>
    </xf>
    <xf numFmtId="0" fontId="6" fillId="0" borderId="0" xfId="0" applyNumberFormat="1" applyFont="1"/>
    <xf numFmtId="0" fontId="6" fillId="0" borderId="0" xfId="0" applyFont="1" applyFill="1"/>
    <xf numFmtId="164" fontId="4" fillId="0" borderId="0" xfId="0" applyNumberFormat="1" applyFont="1"/>
    <xf numFmtId="0" fontId="4" fillId="0" borderId="0" xfId="4" applyFont="1" applyBorder="1"/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3" fillId="0" borderId="0" xfId="0" applyNumberFormat="1" applyFont="1"/>
    <xf numFmtId="164" fontId="3" fillId="0" borderId="0" xfId="0" applyNumberFormat="1" applyFont="1" applyFill="1"/>
    <xf numFmtId="164" fontId="4" fillId="0" borderId="0" xfId="0" applyNumberFormat="1" applyFont="1" applyFill="1"/>
    <xf numFmtId="0" fontId="4" fillId="0" borderId="0" xfId="0" applyFont="1" applyFill="1" applyBorder="1" applyAlignment="1"/>
    <xf numFmtId="165" fontId="4" fillId="0" borderId="0" xfId="0" applyNumberFormat="1" applyFont="1"/>
    <xf numFmtId="165" fontId="4" fillId="0" borderId="0" xfId="0" applyNumberFormat="1" applyFont="1" applyFill="1"/>
    <xf numFmtId="165" fontId="17" fillId="0" borderId="0" xfId="0" applyNumberFormat="1" applyFont="1" applyAlignment="1">
      <alignment horizontal="left"/>
    </xf>
    <xf numFmtId="0" fontId="5" fillId="0" borderId="0" xfId="0" applyFont="1"/>
    <xf numFmtId="1" fontId="3" fillId="0" borderId="0" xfId="0" applyNumberFormat="1" applyFont="1" applyFill="1"/>
    <xf numFmtId="0" fontId="4" fillId="0" borderId="0" xfId="0" applyFont="1" applyBorder="1"/>
    <xf numFmtId="164" fontId="4" fillId="0" borderId="0" xfId="0" applyNumberFormat="1" applyFont="1" applyFill="1" applyBorder="1"/>
    <xf numFmtId="0" fontId="2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1" fillId="0" borderId="0" xfId="11" applyFont="1"/>
    <xf numFmtId="0" fontId="23" fillId="0" borderId="0" xfId="7" applyFont="1"/>
    <xf numFmtId="0" fontId="6" fillId="2" borderId="0" xfId="6" applyFont="1" applyFill="1"/>
    <xf numFmtId="0" fontId="6" fillId="2" borderId="0" xfId="6" applyFont="1" applyFill="1" applyAlignment="1">
      <alignment vertical="top"/>
    </xf>
    <xf numFmtId="0" fontId="6" fillId="0" borderId="0" xfId="6" applyFont="1"/>
    <xf numFmtId="0" fontId="19" fillId="3" borderId="0" xfId="6" applyFont="1" applyFill="1" applyAlignment="1">
      <alignment horizontal="left" vertical="center" wrapText="1"/>
    </xf>
    <xf numFmtId="0" fontId="6" fillId="3" borderId="0" xfId="6" applyFont="1" applyFill="1" applyAlignment="1">
      <alignment horizontal="left" vertical="center" wrapText="1"/>
    </xf>
    <xf numFmtId="0" fontId="12" fillId="2" borderId="0" xfId="6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horizontal="centerContinuous"/>
    </xf>
    <xf numFmtId="0" fontId="4" fillId="0" borderId="0" xfId="0" applyFont="1" applyFill="1" applyAlignment="1">
      <alignment horizontal="centerContinuous"/>
    </xf>
    <xf numFmtId="0" fontId="4" fillId="0" borderId="0" xfId="0" applyFont="1" applyAlignment="1">
      <alignment horizontal="centerContinuous"/>
    </xf>
    <xf numFmtId="0" fontId="8" fillId="0" borderId="0" xfId="6" applyFont="1" applyFill="1" applyAlignment="1">
      <alignment vertical="center" wrapText="1"/>
    </xf>
    <xf numFmtId="0" fontId="8" fillId="0" borderId="0" xfId="6" applyFont="1" applyFill="1" applyAlignment="1">
      <alignment vertical="center"/>
    </xf>
    <xf numFmtId="0" fontId="21" fillId="0" borderId="0" xfId="11" applyFont="1" applyFill="1"/>
    <xf numFmtId="0" fontId="23" fillId="0" borderId="0" xfId="7" applyFont="1" applyFill="1"/>
    <xf numFmtId="0" fontId="6" fillId="0" borderId="0" xfId="6" applyFont="1" applyFill="1" applyAlignment="1">
      <alignment vertical="center" wrapText="1"/>
    </xf>
    <xf numFmtId="0" fontId="4" fillId="0" borderId="0" xfId="0" applyFont="1" applyFill="1" applyAlignment="1">
      <alignment horizontal="center"/>
    </xf>
    <xf numFmtId="0" fontId="6" fillId="3" borderId="0" xfId="6" applyFont="1" applyFill="1" applyAlignment="1">
      <alignment vertical="center" wrapText="1"/>
    </xf>
    <xf numFmtId="0" fontId="6" fillId="3" borderId="0" xfId="6" applyFont="1" applyFill="1" applyAlignment="1">
      <alignment vertical="center"/>
    </xf>
    <xf numFmtId="0" fontId="6" fillId="3" borderId="0" xfId="6" applyFont="1" applyFill="1" applyAlignment="1">
      <alignment horizontal="left" vertical="center"/>
    </xf>
    <xf numFmtId="0" fontId="26" fillId="0" borderId="0" xfId="6" applyFont="1"/>
    <xf numFmtId="164" fontId="4" fillId="0" borderId="9" xfId="0" applyNumberFormat="1" applyFont="1" applyFill="1" applyBorder="1"/>
    <xf numFmtId="0" fontId="4" fillId="0" borderId="9" xfId="0" applyFont="1" applyFill="1" applyBorder="1" applyAlignment="1">
      <alignment horizontal="left" indent="1"/>
    </xf>
    <xf numFmtId="0" fontId="15" fillId="0" borderId="8" xfId="2" applyFont="1" applyFill="1" applyBorder="1" applyAlignment="1">
      <alignment horizontal="left" vertical="center"/>
    </xf>
    <xf numFmtId="164" fontId="3" fillId="0" borderId="8" xfId="0" applyNumberFormat="1" applyFont="1" applyFill="1" applyBorder="1"/>
    <xf numFmtId="164" fontId="3" fillId="0" borderId="8" xfId="0" applyNumberFormat="1" applyFont="1" applyBorder="1"/>
    <xf numFmtId="0" fontId="16" fillId="0" borderId="9" xfId="2" applyFont="1" applyFill="1" applyBorder="1" applyAlignment="1">
      <alignment horizontal="left" vertical="center" wrapText="1" indent="1"/>
    </xf>
    <xf numFmtId="164" fontId="4" fillId="0" borderId="9" xfId="0" applyNumberFormat="1" applyFont="1" applyBorder="1"/>
    <xf numFmtId="0" fontId="4" fillId="0" borderId="9" xfId="0" applyFont="1" applyBorder="1" applyAlignment="1">
      <alignment horizontal="left" indent="1"/>
    </xf>
    <xf numFmtId="0" fontId="4" fillId="0" borderId="10" xfId="0" applyFont="1" applyFill="1" applyBorder="1" applyAlignment="1">
      <alignment horizontal="left" indent="1"/>
    </xf>
    <xf numFmtId="164" fontId="4" fillId="0" borderId="10" xfId="0" applyNumberFormat="1" applyFont="1" applyFill="1" applyBorder="1"/>
    <xf numFmtId="166" fontId="4" fillId="0" borderId="8" xfId="0" applyNumberFormat="1" applyFont="1" applyBorder="1"/>
    <xf numFmtId="166" fontId="4" fillId="0" borderId="9" xfId="0" applyNumberFormat="1" applyFont="1" applyBorder="1"/>
    <xf numFmtId="166" fontId="4" fillId="0" borderId="10" xfId="0" applyNumberFormat="1" applyFont="1" applyBorder="1"/>
    <xf numFmtId="0" fontId="3" fillId="0" borderId="8" xfId="0" applyFont="1" applyBorder="1"/>
    <xf numFmtId="4" fontId="3" fillId="0" borderId="8" xfId="0" applyNumberFormat="1" applyFont="1" applyBorder="1"/>
    <xf numFmtId="4" fontId="4" fillId="0" borderId="9" xfId="0" applyNumberFormat="1" applyFont="1" applyFill="1" applyBorder="1"/>
    <xf numFmtId="0" fontId="4" fillId="0" borderId="10" xfId="0" applyFont="1" applyBorder="1" applyAlignment="1">
      <alignment horizontal="left" indent="1"/>
    </xf>
    <xf numFmtId="4" fontId="4" fillId="0" borderId="10" xfId="0" applyNumberFormat="1" applyFont="1" applyFill="1" applyBorder="1"/>
    <xf numFmtId="0" fontId="15" fillId="0" borderId="11" xfId="2" applyFont="1" applyFill="1" applyBorder="1" applyAlignment="1">
      <alignment horizontal="left" vertical="center"/>
    </xf>
    <xf numFmtId="0" fontId="16" fillId="0" borderId="12" xfId="2" applyFont="1" applyFill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indent="1"/>
    </xf>
    <xf numFmtId="0" fontId="4" fillId="0" borderId="12" xfId="0" applyFont="1" applyFill="1" applyBorder="1" applyAlignment="1">
      <alignment horizontal="left" indent="1"/>
    </xf>
    <xf numFmtId="164" fontId="4" fillId="0" borderId="9" xfId="0" applyNumberFormat="1" applyFont="1" applyBorder="1" applyAlignment="1">
      <alignment horizontal="right"/>
    </xf>
    <xf numFmtId="0" fontId="4" fillId="0" borderId="13" xfId="0" applyFont="1" applyFill="1" applyBorder="1" applyAlignment="1">
      <alignment horizontal="left" indent="1"/>
    </xf>
    <xf numFmtId="0" fontId="16" fillId="0" borderId="11" xfId="2" applyFont="1" applyFill="1" applyBorder="1" applyAlignment="1">
      <alignment horizontal="left" vertical="top" inden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indent="1"/>
    </xf>
    <xf numFmtId="166" fontId="4" fillId="0" borderId="1" xfId="10" applyNumberFormat="1" applyFont="1" applyBorder="1"/>
    <xf numFmtId="166" fontId="4" fillId="0" borderId="9" xfId="10" applyNumberFormat="1" applyFont="1" applyFill="1" applyBorder="1"/>
    <xf numFmtId="166" fontId="4" fillId="0" borderId="10" xfId="10" applyNumberFormat="1" applyFont="1" applyFill="1" applyBorder="1"/>
    <xf numFmtId="0" fontId="16" fillId="0" borderId="1" xfId="2" applyFont="1" applyFill="1" applyBorder="1" applyAlignment="1">
      <alignment horizontal="left" vertical="top" indent="1"/>
    </xf>
    <xf numFmtId="0" fontId="3" fillId="4" borderId="0" xfId="6" applyFont="1" applyFill="1" applyBorder="1" applyAlignment="1"/>
    <xf numFmtId="0" fontId="4" fillId="4" borderId="0" xfId="6" applyFont="1" applyFill="1" applyBorder="1"/>
    <xf numFmtId="0" fontId="4" fillId="4" borderId="0" xfId="6" applyFont="1" applyFill="1" applyBorder="1" applyAlignment="1">
      <alignment vertical="center"/>
    </xf>
    <xf numFmtId="0" fontId="4" fillId="4" borderId="0" xfId="6" applyFont="1" applyFill="1" applyBorder="1" applyAlignment="1">
      <alignment horizontal="left" vertical="center"/>
    </xf>
    <xf numFmtId="0" fontId="28" fillId="0" borderId="0" xfId="11" applyFont="1" applyAlignment="1">
      <alignment horizontal="right"/>
    </xf>
    <xf numFmtId="0" fontId="17" fillId="0" borderId="0" xfId="0" applyFont="1"/>
    <xf numFmtId="0" fontId="18" fillId="0" borderId="0" xfId="0" applyFont="1"/>
    <xf numFmtId="0" fontId="29" fillId="0" borderId="0" xfId="11" applyFont="1" applyFill="1"/>
    <xf numFmtId="0" fontId="17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0" fontId="30" fillId="0" borderId="4" xfId="11" applyFont="1" applyFill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30" fillId="3" borderId="4" xfId="11" applyFont="1" applyFill="1" applyBorder="1" applyAlignment="1">
      <alignment horizontal="left" vertical="center"/>
    </xf>
    <xf numFmtId="0" fontId="4" fillId="0" borderId="0" xfId="0" applyFont="1" applyFill="1" applyBorder="1"/>
    <xf numFmtId="4" fontId="4" fillId="0" borderId="0" xfId="0" applyNumberFormat="1" applyFont="1"/>
    <xf numFmtId="4" fontId="3" fillId="0" borderId="0" xfId="0" applyNumberFormat="1" applyFont="1" applyBorder="1"/>
    <xf numFmtId="4" fontId="4" fillId="0" borderId="0" xfId="0" applyNumberFormat="1" applyFont="1" applyFill="1" applyBorder="1"/>
    <xf numFmtId="166" fontId="4" fillId="0" borderId="0" xfId="0" applyNumberFormat="1" applyFont="1" applyBorder="1"/>
    <xf numFmtId="0" fontId="17" fillId="0" borderId="14" xfId="0" applyFont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0" fontId="17" fillId="3" borderId="14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3" fillId="0" borderId="8" xfId="0" applyFont="1" applyFill="1" applyBorder="1" applyAlignment="1">
      <alignment wrapText="1"/>
    </xf>
    <xf numFmtId="3" fontId="3" fillId="0" borderId="8" xfId="0" applyNumberFormat="1" applyFont="1" applyFill="1" applyBorder="1"/>
    <xf numFmtId="0" fontId="3" fillId="0" borderId="9" xfId="0" applyFont="1" applyFill="1" applyBorder="1"/>
    <xf numFmtId="164" fontId="3" fillId="0" borderId="9" xfId="0" applyNumberFormat="1" applyFont="1" applyFill="1" applyBorder="1"/>
    <xf numFmtId="0" fontId="4" fillId="0" borderId="9" xfId="0" applyFont="1" applyFill="1" applyBorder="1"/>
    <xf numFmtId="164" fontId="4" fillId="0" borderId="9" xfId="0" applyNumberFormat="1" applyFont="1" applyFill="1" applyBorder="1" applyAlignment="1">
      <alignment horizontal="right"/>
    </xf>
    <xf numFmtId="0" fontId="4" fillId="0" borderId="9" xfId="0" applyFont="1" applyFill="1" applyBorder="1" applyAlignment="1">
      <alignment horizontal="left" indent="2"/>
    </xf>
    <xf numFmtId="0" fontId="6" fillId="0" borderId="9" xfId="0" applyFont="1" applyFill="1" applyBorder="1" applyAlignment="1">
      <alignment horizontal="left" indent="1"/>
    </xf>
    <xf numFmtId="0" fontId="3" fillId="0" borderId="10" xfId="0" applyFont="1" applyFill="1" applyBorder="1"/>
    <xf numFmtId="164" fontId="3" fillId="0" borderId="10" xfId="0" applyNumberFormat="1" applyFont="1" applyFill="1" applyBorder="1"/>
    <xf numFmtId="0" fontId="6" fillId="0" borderId="0" xfId="0" applyFont="1" applyBorder="1"/>
    <xf numFmtId="0" fontId="3" fillId="0" borderId="0" xfId="0" applyFont="1" applyFill="1" applyBorder="1" applyAlignment="1">
      <alignment wrapText="1"/>
    </xf>
    <xf numFmtId="3" fontId="3" fillId="0" borderId="0" xfId="0" applyNumberFormat="1" applyFont="1" applyFill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0" fontId="4" fillId="0" borderId="0" xfId="0" applyFont="1" applyFill="1" applyBorder="1" applyAlignment="1">
      <alignment horizontal="left" indent="1"/>
    </xf>
    <xf numFmtId="164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indent="2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31" fillId="0" borderId="0" xfId="11" applyFont="1" applyAlignment="1">
      <alignment horizontal="right"/>
    </xf>
    <xf numFmtId="164" fontId="19" fillId="0" borderId="7" xfId="0" applyNumberFormat="1" applyFont="1" applyFill="1" applyBorder="1" applyAlignment="1">
      <alignment horizontal="right"/>
    </xf>
    <xf numFmtId="164" fontId="19" fillId="0" borderId="7" xfId="0" applyNumberFormat="1" applyFont="1" applyFill="1" applyBorder="1"/>
    <xf numFmtId="164" fontId="3" fillId="0" borderId="8" xfId="0" applyNumberFormat="1" applyFont="1" applyBorder="1" applyAlignment="1">
      <alignment horizontal="right"/>
    </xf>
    <xf numFmtId="166" fontId="4" fillId="0" borderId="8" xfId="0" applyNumberFormat="1" applyFont="1" applyBorder="1" applyAlignment="1">
      <alignment horizontal="right"/>
    </xf>
    <xf numFmtId="166" fontId="4" fillId="0" borderId="9" xfId="0" applyNumberFormat="1" applyFont="1" applyBorder="1" applyAlignment="1">
      <alignment horizontal="right"/>
    </xf>
    <xf numFmtId="166" fontId="4" fillId="0" borderId="10" xfId="0" applyNumberFormat="1" applyFont="1" applyBorder="1" applyAlignment="1">
      <alignment horizontal="right"/>
    </xf>
    <xf numFmtId="0" fontId="3" fillId="0" borderId="8" xfId="0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164" fontId="3" fillId="0" borderId="10" xfId="0" applyNumberFormat="1" applyFont="1" applyFill="1" applyBorder="1" applyAlignment="1">
      <alignment horizontal="right"/>
    </xf>
    <xf numFmtId="3" fontId="19" fillId="0" borderId="15" xfId="0" applyNumberFormat="1" applyFont="1" applyFill="1" applyBorder="1"/>
    <xf numFmtId="164" fontId="19" fillId="0" borderId="16" xfId="0" applyNumberFormat="1" applyFont="1" applyFill="1" applyBorder="1"/>
    <xf numFmtId="164" fontId="6" fillId="0" borderId="16" xfId="0" applyNumberFormat="1" applyFont="1" applyFill="1" applyBorder="1"/>
    <xf numFmtId="164" fontId="6" fillId="0" borderId="16" xfId="0" applyNumberFormat="1" applyFont="1" applyFill="1" applyBorder="1" applyAlignment="1">
      <alignment horizontal="right"/>
    </xf>
    <xf numFmtId="164" fontId="19" fillId="0" borderId="16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 indent="1"/>
    </xf>
    <xf numFmtId="0" fontId="2" fillId="4" borderId="0" xfId="8" applyFont="1" applyFill="1" applyAlignment="1">
      <alignment horizontal="center" vertical="center" wrapText="1"/>
    </xf>
    <xf numFmtId="0" fontId="2" fillId="4" borderId="0" xfId="8" applyFont="1" applyFill="1" applyAlignment="1">
      <alignment horizontal="center" vertical="center"/>
    </xf>
    <xf numFmtId="0" fontId="6" fillId="4" borderId="0" xfId="6" applyFont="1" applyFill="1" applyAlignment="1">
      <alignment vertical="center" wrapText="1"/>
    </xf>
    <xf numFmtId="0" fontId="6" fillId="3" borderId="0" xfId="8" applyFont="1" applyFill="1" applyBorder="1" applyAlignment="1">
      <alignment horizontal="left" vertical="center" wrapText="1"/>
    </xf>
    <xf numFmtId="0" fontId="32" fillId="6" borderId="0" xfId="8" applyFont="1" applyFill="1" applyAlignment="1">
      <alignment horizontal="left" vertical="center" wrapText="1"/>
    </xf>
    <xf numFmtId="0" fontId="8" fillId="4" borderId="0" xfId="6" applyFont="1" applyFill="1" applyAlignment="1">
      <alignment vertical="center" wrapText="1"/>
    </xf>
    <xf numFmtId="0" fontId="8" fillId="4" borderId="0" xfId="6" applyFont="1" applyFill="1" applyAlignment="1">
      <alignment vertical="center"/>
    </xf>
    <xf numFmtId="0" fontId="19" fillId="3" borderId="0" xfId="6" applyFont="1" applyFill="1" applyAlignment="1">
      <alignment horizontal="left"/>
    </xf>
    <xf numFmtId="0" fontId="6" fillId="3" borderId="0" xfId="6" applyFont="1" applyFill="1" applyAlignment="1">
      <alignment horizontal="left" vertical="center" wrapText="1"/>
    </xf>
    <xf numFmtId="0" fontId="19" fillId="3" borderId="0" xfId="6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5">
    <cellStyle name="Hypertextové prepojenie" xfId="11"/>
    <cellStyle name="Hypertextové prepojenie 2" xfId="7"/>
    <cellStyle name="Normálna 2" xfId="6"/>
    <cellStyle name="Normálna 3" xfId="8"/>
    <cellStyle name="Normálna 3 2" xfId="4"/>
    <cellStyle name="Normálne 2" xfId="3"/>
    <cellStyle name="Normálne 2 4" xfId="5"/>
    <cellStyle name="Normálne 3" xfId="12"/>
    <cellStyle name="Normálne 6" xfId="9"/>
    <cellStyle name="normálne_E_02-01_vyk_09" xfId="13"/>
    <cellStyle name="Normálne_E01E02-2013-T512 2" xfId="2"/>
    <cellStyle name="Normálne_Hárok3" xfId="1"/>
    <cellStyle name="Normální" xfId="0" builtinId="0"/>
    <cellStyle name="Procenta" xfId="10" builtinId="5"/>
    <cellStyle name="Špatně 2" xfId="14"/>
  </cellStyles>
  <dxfs count="0"/>
  <tableStyles count="0" defaultTableStyle="TableStyleMedium2" defaultPivotStyle="PivotStyleLight16"/>
  <colors>
    <mruColors>
      <color rgb="FFC9E7FF"/>
      <color rgb="FFF09D24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1 Štruktúra nákladov podľa formy poskytovanej zdravotnej starostlivosti v roku 2021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4507181069958847"/>
          <c:y val="0.13301829883999763"/>
          <c:w val="0.80728353909465023"/>
          <c:h val="0.53624771037662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'G1'!$A$18</c:f>
              <c:strCache>
                <c:ptCount val="1"/>
                <c:pt idx="0">
                  <c:v>mzdy a odvody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'G1'!$B$18:$D$18</c:f>
              <c:numCache>
                <c:formatCode>0.0%</c:formatCode>
                <c:ptCount val="3"/>
                <c:pt idx="0">
                  <c:v>9.4110963722992769E-2</c:v>
                </c:pt>
                <c:pt idx="1">
                  <c:v>0.5312199430181811</c:v>
                </c:pt>
                <c:pt idx="2">
                  <c:v>0.44512751378039445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0-4B4E-8782-F09710AE6C66}"/>
            </c:ext>
          </c:extLst>
        </c:ser>
        <c:ser>
          <c:idx val="1"/>
          <c:order val="1"/>
          <c:tx>
            <c:strRef>
              <c:f>'G1'!$A$19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4.4077134986225085E-3"/>
                  <c:y val="9.095603385856264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5F9-47E7-8F39-5E31DC1973FF}"/>
                </c:ext>
              </c:extLst>
            </c:dLbl>
            <c:dLbl>
              <c:idx val="2"/>
              <c:layout>
                <c:manualLayout>
                  <c:x val="-6.6115702479338841E-3"/>
                  <c:y val="-7.27648270868501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881-4066-8EA0-A1639F1DCA6B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'G1'!$B$19:$D$19</c:f>
              <c:numCache>
                <c:formatCode>0.0%</c:formatCode>
                <c:ptCount val="3"/>
                <c:pt idx="0">
                  <c:v>0.58173086302881094</c:v>
                </c:pt>
                <c:pt idx="1">
                  <c:v>0.11936746410560584</c:v>
                </c:pt>
                <c:pt idx="2">
                  <c:v>3.5239961028395383E-2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0-4B4E-8782-F09710AE6C66}"/>
            </c:ext>
          </c:extLst>
        </c:ser>
        <c:ser>
          <c:idx val="2"/>
          <c:order val="2"/>
          <c:tx>
            <c:strRef>
              <c:f>'G1'!$A$20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'G1'!$B$20:$D$20</c:f>
              <c:numCache>
                <c:formatCode>0.0%</c:formatCode>
                <c:ptCount val="3"/>
                <c:pt idx="0">
                  <c:v>8.3744376606354851E-2</c:v>
                </c:pt>
                <c:pt idx="1">
                  <c:v>0.11148334319321726</c:v>
                </c:pt>
                <c:pt idx="2">
                  <c:v>7.5122866171410355E-2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70-4B4E-8782-F09710AE6C66}"/>
            </c:ext>
          </c:extLst>
        </c:ser>
        <c:ser>
          <c:idx val="3"/>
          <c:order val="3"/>
          <c:tx>
            <c:strRef>
              <c:f>'G1'!$A$21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85F9-47E7-8F39-5E31DC1973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F9-47E7-8F39-5E31DC1973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81-4066-8EA0-A1639F1DCA6B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'G1'!$B$21:$D$21</c:f>
              <c:numCache>
                <c:formatCode>0.0%</c:formatCode>
                <c:ptCount val="3"/>
                <c:pt idx="0">
                  <c:v>0.13121502306683452</c:v>
                </c:pt>
                <c:pt idx="1">
                  <c:v>4.4390908889832669E-3</c:v>
                </c:pt>
                <c:pt idx="2">
                  <c:v>3.1344238738867061E-4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9-47E7-8F39-5E31DC1973FF}"/>
            </c:ext>
          </c:extLst>
        </c:ser>
        <c:ser>
          <c:idx val="4"/>
          <c:order val="4"/>
          <c:tx>
            <c:strRef>
              <c:f>'G1'!$A$22</c:f>
              <c:strCache>
                <c:ptCount val="1"/>
                <c:pt idx="0">
                  <c:v>krv a krvné výrobky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1"/>
              <c:layout>
                <c:manualLayout>
                  <c:x val="-5.5096418732782371E-2"/>
                  <c:y val="-6.36692237009939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105-4B2F-A7EE-577A2598776E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'G1'!$B$22:$D$22</c:f>
              <c:numCache>
                <c:formatCode>0.0%</c:formatCode>
                <c:ptCount val="3"/>
                <c:pt idx="0">
                  <c:v>3.5346936880209734E-5</c:v>
                </c:pt>
                <c:pt idx="1">
                  <c:v>8.8850022041758684E-3</c:v>
                </c:pt>
                <c:pt idx="2">
                  <c:v>7.1627675267509083E-4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F9-47E7-8F39-5E31DC1973FF}"/>
            </c:ext>
          </c:extLst>
        </c:ser>
        <c:ser>
          <c:idx val="5"/>
          <c:order val="5"/>
          <c:tx>
            <c:strRef>
              <c:f>'G1'!$A$23</c:f>
              <c:strCache>
                <c:ptCount val="1"/>
                <c:pt idx="0">
                  <c:v>odpisy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8.8154269972451783E-3"/>
                  <c:y val="-7.88285626774209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85F9-47E7-8F39-5E31DC1973FF}"/>
                </c:ext>
              </c:extLst>
            </c:dLbl>
            <c:dLbl>
              <c:idx val="1"/>
              <c:layout>
                <c:manualLayout>
                  <c:x val="-5.7300275482093745E-2"/>
                  <c:y val="-0.109146763170779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85F9-47E7-8F39-5E31DC1973FF}"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85F9-47E7-8F39-5E31DC1973F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'G1'!$B$23:$D$23</c:f>
              <c:numCache>
                <c:formatCode>0.0%</c:formatCode>
                <c:ptCount val="3"/>
                <c:pt idx="0">
                  <c:v>9.8718974774561555E-3</c:v>
                </c:pt>
                <c:pt idx="1">
                  <c:v>3.5053867224451772E-2</c:v>
                </c:pt>
                <c:pt idx="2">
                  <c:v>6.6965165559824943E-2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F9-47E7-8F39-5E31DC1973FF}"/>
            </c:ext>
          </c:extLst>
        </c:ser>
        <c:ser>
          <c:idx val="6"/>
          <c:order val="6"/>
          <c:tx>
            <c:strRef>
              <c:f>'G1'!$A$24</c:f>
              <c:strCache>
                <c:ptCount val="1"/>
                <c:pt idx="0">
                  <c:v>stravovanie pacientov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5F9-47E7-8F39-5E31DC1973FF}"/>
                </c:ext>
              </c:extLst>
            </c:dLbl>
            <c:dLbl>
              <c:idx val="1"/>
              <c:layout>
                <c:manualLayout>
                  <c:x val="-1.1019283746556474E-2"/>
                  <c:y val="-9.39879016538480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85F9-47E7-8F39-5E31DC1973FF}"/>
                </c:ext>
              </c:extLst>
            </c:dLbl>
            <c:dLbl>
              <c:idx val="2"/>
              <c:layout>
                <c:manualLayout>
                  <c:x val="-1.5426997245179144E-2"/>
                  <c:y val="-7.5796694882135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85F9-47E7-8F39-5E31DC1973F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'G1'!$B$24:$D$24</c:f>
              <c:numCache>
                <c:formatCode>0.0%</c:formatCode>
                <c:ptCount val="3"/>
                <c:pt idx="0">
                  <c:v>0</c:v>
                </c:pt>
                <c:pt idx="1">
                  <c:v>8.1636354845283105E-3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F9-47E7-8F39-5E31DC1973FF}"/>
            </c:ext>
          </c:extLst>
        </c:ser>
        <c:ser>
          <c:idx val="7"/>
          <c:order val="7"/>
          <c:tx>
            <c:strRef>
              <c:f>'G1'!$A$25</c:f>
              <c:strCache>
                <c:ptCount val="1"/>
                <c:pt idx="0">
                  <c:v>spotreba energie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5F9-47E7-8F39-5E31DC1973FF}"/>
                </c:ext>
              </c:extLst>
            </c:dLbl>
            <c:dLbl>
              <c:idx val="1"/>
              <c:layout>
                <c:manualLayout>
                  <c:x val="2.6446280991735377E-2"/>
                  <c:y val="-8.79234498740343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85F9-47E7-8F39-5E31DC1973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F9-47E7-8F39-5E31DC1973F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'G1'!$B$25:$D$25</c:f>
              <c:numCache>
                <c:formatCode>0.0%</c:formatCode>
                <c:ptCount val="3"/>
                <c:pt idx="0" formatCode="#\ ##0.0">
                  <c:v>3.5094571355716031E-3</c:v>
                </c:pt>
                <c:pt idx="1">
                  <c:v>1.6178835665095429E-2</c:v>
                </c:pt>
                <c:pt idx="2" formatCode="#\ ##0.0">
                  <c:v>1.444536928281325E-2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F9-47E7-8F39-5E31DC1973FF}"/>
            </c:ext>
          </c:extLst>
        </c:ser>
        <c:ser>
          <c:idx val="8"/>
          <c:order val="8"/>
          <c:tx>
            <c:strRef>
              <c:f>'G1'!$A$26</c:f>
              <c:strCache>
                <c:ptCount val="1"/>
                <c:pt idx="0">
                  <c:v>oprava a údržba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5F9-47E7-8F39-5E31DC1973FF}"/>
                </c:ext>
              </c:extLst>
            </c:dLbl>
            <c:dLbl>
              <c:idx val="1"/>
              <c:layout>
                <c:manualLayout>
                  <c:x val="7.0523415977961426E-2"/>
                  <c:y val="-6.36689849712462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5F9-47E7-8F39-5E31DC1973FF}"/>
                </c:ext>
              </c:extLst>
            </c:dLbl>
            <c:dLbl>
              <c:idx val="2"/>
              <c:layout>
                <c:manualLayout>
                  <c:x val="3.0853994490358128E-2"/>
                  <c:y val="-7.2764827086850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85F9-47E7-8F39-5E31DC1973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'G1'!$B$26:$D$26</c:f>
              <c:numCache>
                <c:formatCode>0.0%</c:formatCode>
                <c:ptCount val="3"/>
                <c:pt idx="0">
                  <c:v>3.1857965311822998E-3</c:v>
                </c:pt>
                <c:pt idx="1">
                  <c:v>1.2312522286805426E-2</c:v>
                </c:pt>
                <c:pt idx="2">
                  <c:v>2.2048330402866134E-2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F9-47E7-8F39-5E31DC1973FF}"/>
            </c:ext>
          </c:extLst>
        </c:ser>
        <c:ser>
          <c:idx val="9"/>
          <c:order val="9"/>
          <c:tx>
            <c:strRef>
              <c:f>'G1'!$A$27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'G1'!$B$27:$D$27</c:f>
              <c:numCache>
                <c:formatCode>0.0%</c:formatCode>
                <c:ptCount val="3"/>
                <c:pt idx="0">
                  <c:v>9.2596275493916677E-2</c:v>
                </c:pt>
                <c:pt idx="1">
                  <c:v>0.15289629592895584</c:v>
                </c:pt>
                <c:pt idx="2">
                  <c:v>0.3400210746342317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F9-47E7-8F39-5E31DC1973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1103920"/>
        <c:axId val="830313968"/>
      </c:barChart>
      <c:catAx>
        <c:axId val="55110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13968"/>
        <c:crossesAt val="0"/>
        <c:auto val="1"/>
        <c:lblAlgn val="ctr"/>
        <c:lblOffset val="100"/>
        <c:noMultiLvlLbl val="0"/>
      </c:catAx>
      <c:valAx>
        <c:axId val="8303139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5511039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51666666666666"/>
          <c:y val="0.76260740740740729"/>
          <c:w val="0.8591886510054012"/>
          <c:h val="0.16942793429297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2 Štruktúra výnosov podľa formy poskytovanej zdravotnej starostlivosti v roku 2021</a:t>
            </a:r>
          </a:p>
        </c:rich>
      </c:tx>
      <c:layout>
        <c:manualLayout>
          <c:xMode val="edge"/>
          <c:yMode val="edge"/>
          <c:x val="0.15602201646090536"/>
          <c:y val="1.8446309474460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8272345679012345"/>
          <c:y val="0.10948073493582863"/>
          <c:w val="0.77039670781892999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'G2'!$A$12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'G2'!$B$12:$D$12</c:f>
              <c:numCache>
                <c:formatCode>0.0%</c:formatCode>
                <c:ptCount val="3"/>
                <c:pt idx="0">
                  <c:v>0.48095630891730107</c:v>
                </c:pt>
                <c:pt idx="1">
                  <c:v>0.76132047633814115</c:v>
                </c:pt>
                <c:pt idx="2">
                  <c:v>0.72863248655788915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B2A-805B-13641AA53450}"/>
            </c:ext>
          </c:extLst>
        </c:ser>
        <c:ser>
          <c:idx val="1"/>
          <c:order val="1"/>
          <c:tx>
            <c:strRef>
              <c:f>'G2'!$A$13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cs-CZ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776-4A82-942E-D7312CFF2B41}"/>
                </c:ext>
              </c:extLst>
            </c:dLbl>
            <c:dLbl>
              <c:idx val="1"/>
              <c:layout>
                <c:manualLayout>
                  <c:x val="-4.7950823045267585E-2"/>
                  <c:y val="-9.7037646736555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380-4B2A-805B-13641AA53450}"/>
                </c:ext>
              </c:extLst>
            </c:dLbl>
            <c:dLbl>
              <c:idx val="2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cs-CZ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776-4A82-942E-D7312CFF2B41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'G2'!$B$13:$D$13</c:f>
              <c:numCache>
                <c:formatCode>0.0%</c:formatCode>
                <c:ptCount val="3"/>
                <c:pt idx="0">
                  <c:v>0.44738823547052398</c:v>
                </c:pt>
                <c:pt idx="1">
                  <c:v>3.7439330940888964E-2</c:v>
                </c:pt>
                <c:pt idx="2">
                  <c:v>0.15646769555042117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0-4B2A-805B-13641AA53450}"/>
            </c:ext>
          </c:extLst>
        </c:ser>
        <c:ser>
          <c:idx val="2"/>
          <c:order val="2"/>
          <c:tx>
            <c:strRef>
              <c:f>'G2'!$A$14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80-4B2A-805B-13641AA53450}"/>
                </c:ext>
              </c:extLst>
            </c:dLbl>
            <c:dLbl>
              <c:idx val="1"/>
              <c:layout>
                <c:manualLayout>
                  <c:x val="4.444300411522624E-2"/>
                  <c:y val="-9.9330318378923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380-4B2A-805B-13641AA53450}"/>
                </c:ext>
              </c:extLst>
            </c:dLbl>
            <c:dLbl>
              <c:idx val="2"/>
              <c:layout>
                <c:manualLayout>
                  <c:x val="4.1841452194905197E-2"/>
                  <c:y val="-9.0981677319186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380-4B2A-805B-13641AA53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'G2'!$B$14:$D$14</c:f>
              <c:numCache>
                <c:formatCode>0.0%</c:formatCode>
                <c:ptCount val="3"/>
                <c:pt idx="0">
                  <c:v>3.1604512112159873E-5</c:v>
                </c:pt>
                <c:pt idx="1">
                  <c:v>8.3865522049418134E-2</c:v>
                </c:pt>
                <c:pt idx="2">
                  <c:v>5.9870944033562721E-3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80-4B2A-805B-13641AA53450}"/>
            </c:ext>
          </c:extLst>
        </c:ser>
        <c:ser>
          <c:idx val="3"/>
          <c:order val="3"/>
          <c:tx>
            <c:strRef>
              <c:f>'G2'!$A$15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7.8395061728395062E-3"/>
                  <c:y val="-7.629044078598617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498-4263-8A48-4959083B89F8}"/>
                </c:ext>
              </c:extLst>
            </c:dLbl>
            <c:dLbl>
              <c:idx val="2"/>
              <c:layout>
                <c:manualLayout>
                  <c:x val="5.2263374485596705E-3"/>
                  <c:y val="6.5532989634647028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776-4A82-942E-D7312CFF2B41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'G2'!$B$5:$D$5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'G2'!$B$15:$D$15</c:f>
              <c:numCache>
                <c:formatCode>0.0%</c:formatCode>
                <c:ptCount val="3"/>
                <c:pt idx="0">
                  <c:v>7.1623851100063071E-2</c:v>
                </c:pt>
                <c:pt idx="1">
                  <c:v>0.11737467067155206</c:v>
                </c:pt>
                <c:pt idx="2">
                  <c:v>0.10891272348833633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80-4B2A-805B-13641AA5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9616"/>
        <c:axId val="830308528"/>
      </c:barChart>
      <c:catAx>
        <c:axId val="83030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8528"/>
        <c:crosses val="autoZero"/>
        <c:auto val="1"/>
        <c:lblAlgn val="ctr"/>
        <c:lblOffset val="100"/>
        <c:noMultiLvlLbl val="0"/>
      </c:catAx>
      <c:valAx>
        <c:axId val="8303085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961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6707818930042"/>
          <c:y val="0.84923700544645442"/>
          <c:w val="0.81713292181069963"/>
          <c:h val="0.12003644944883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3 Štruktúra nákladov v zariadeniach ústavnej zdravotnej starostlivosti v roku 2021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8751069958847735"/>
          <c:y val="0.13381274524064074"/>
          <c:w val="0.76484465020576131"/>
          <c:h val="0.5832313642889885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'G3'!$A$18</c:f>
              <c:strCache>
                <c:ptCount val="1"/>
                <c:pt idx="0">
                  <c:v>mzdy a odvody 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'G3'!$B$18:$E$18</c:f>
              <c:numCache>
                <c:formatCode>0.0%</c:formatCode>
                <c:ptCount val="4"/>
                <c:pt idx="0">
                  <c:v>0.4840136362551265</c:v>
                </c:pt>
                <c:pt idx="1">
                  <c:v>0.68529377658492285</c:v>
                </c:pt>
                <c:pt idx="2">
                  <c:v>0.53031836067022708</c:v>
                </c:pt>
                <c:pt idx="3">
                  <c:v>0.53236308266890398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8-4AEB-945B-97776E20CCAF}"/>
            </c:ext>
          </c:extLst>
        </c:ser>
        <c:ser>
          <c:idx val="1"/>
          <c:order val="1"/>
          <c:tx>
            <c:strRef>
              <c:f>'G3'!$A$19</c:f>
              <c:strCache>
                <c:ptCount val="1"/>
                <c:pt idx="0">
                  <c:v>lieky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B8-4AEB-945B-97776E20CCA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'G3'!$B$19:$E$19</c:f>
              <c:numCache>
                <c:formatCode>0.0%</c:formatCode>
                <c:ptCount val="4"/>
                <c:pt idx="0">
                  <c:v>2.8369954863658904E-3</c:v>
                </c:pt>
                <c:pt idx="1">
                  <c:v>2.93123800058512E-2</c:v>
                </c:pt>
                <c:pt idx="2">
                  <c:v>0.14776419994032397</c:v>
                </c:pt>
                <c:pt idx="3">
                  <c:v>9.8996758046562161E-2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8-4AEB-945B-97776E20CCAF}"/>
            </c:ext>
          </c:extLst>
        </c:ser>
        <c:ser>
          <c:idx val="2"/>
          <c:order val="2"/>
          <c:tx>
            <c:strRef>
              <c:f>'G3'!$A$20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B8-4AEB-945B-97776E20CCA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B8-4AEB-945B-97776E20C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'G3'!$B$20:$E$20</c:f>
              <c:numCache>
                <c:formatCode>0.0%</c:formatCode>
                <c:ptCount val="4"/>
                <c:pt idx="0">
                  <c:v>5.4558084783676583E-3</c:v>
                </c:pt>
                <c:pt idx="1">
                  <c:v>7.3835359952234619E-3</c:v>
                </c:pt>
                <c:pt idx="2">
                  <c:v>0.10988230292575414</c:v>
                </c:pt>
                <c:pt idx="3">
                  <c:v>0.12077172685783984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8-4AEB-945B-97776E20CCAF}"/>
            </c:ext>
          </c:extLst>
        </c:ser>
        <c:ser>
          <c:idx val="3"/>
          <c:order val="3"/>
          <c:tx>
            <c:strRef>
              <c:f>'G3'!$A$21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'G3'!$B$21:$E$21</c:f>
              <c:numCache>
                <c:formatCode>#\ ##0.0</c:formatCode>
                <c:ptCount val="4"/>
                <c:pt idx="0">
                  <c:v>0</c:v>
                </c:pt>
                <c:pt idx="1">
                  <c:v>0</c:v>
                </c:pt>
                <c:pt idx="2" formatCode="0.0%">
                  <c:v>1.3557056691092925E-3</c:v>
                </c:pt>
                <c:pt idx="3" formatCode="0.0%">
                  <c:v>7.849226544639553E-3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B8-4AEB-945B-97776E20CCAF}"/>
            </c:ext>
          </c:extLst>
        </c:ser>
        <c:ser>
          <c:idx val="4"/>
          <c:order val="4"/>
          <c:tx>
            <c:strRef>
              <c:f>'G3'!$A$22</c:f>
              <c:strCache>
                <c:ptCount val="1"/>
                <c:pt idx="0">
                  <c:v>krv a krvné výrobky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3B8-4AEB-945B-97776E20CCA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3B8-4AEB-945B-97776E20CCAF}"/>
                </c:ext>
              </c:extLst>
            </c:dLbl>
            <c:dLbl>
              <c:idx val="2"/>
              <c:layout>
                <c:manualLayout>
                  <c:x val="-7.0487287312473293E-2"/>
                  <c:y val="-4.8930967523194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63B8-4AEB-945B-97776E20CCA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'G3'!$B$22:$E$22</c:f>
              <c:numCache>
                <c:formatCode>0.0%</c:formatCode>
                <c:ptCount val="4"/>
                <c:pt idx="0">
                  <c:v>2.9801755084875004E-6</c:v>
                </c:pt>
                <c:pt idx="1">
                  <c:v>7.2217238152126437E-6</c:v>
                </c:pt>
                <c:pt idx="2">
                  <c:v>1.119562710663969E-2</c:v>
                </c:pt>
                <c:pt idx="3">
                  <c:v>7.2179143421187072E-3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B8-4AEB-945B-97776E20CCAF}"/>
            </c:ext>
          </c:extLst>
        </c:ser>
        <c:ser>
          <c:idx val="5"/>
          <c:order val="5"/>
          <c:tx>
            <c:strRef>
              <c:f>'G3'!$A$23</c:f>
              <c:strCache>
                <c:ptCount val="1"/>
                <c:pt idx="0">
                  <c:v>odpisy 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9.3252518914708181E-4"/>
                  <c:y val="-3.37111804422083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63B8-4AEB-945B-97776E20CCAF}"/>
                </c:ext>
              </c:extLst>
            </c:dLbl>
            <c:dLbl>
              <c:idx val="1"/>
              <c:layout>
                <c:manualLayout>
                  <c:x val="-2.0857025876078655E-2"/>
                  <c:y val="-7.4789615179722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63B8-4AEB-945B-97776E20CCAF}"/>
                </c:ext>
              </c:extLst>
            </c:dLbl>
            <c:dLbl>
              <c:idx val="2"/>
              <c:layout>
                <c:manualLayout>
                  <c:x val="-5.5604556146590566E-2"/>
                  <c:y val="-8.4439180998292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63B8-4AEB-945B-97776E20CCAF}"/>
                </c:ext>
              </c:extLst>
            </c:dLbl>
            <c:dLbl>
              <c:idx val="3"/>
              <c:layout>
                <c:manualLayout>
                  <c:x val="-6.2739237908245635E-2"/>
                  <c:y val="-6.4038263689614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>
                      <a:softEdge rad="0"/>
                    </a:effectLst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'G3'!$B$23:$E$23</c:f>
              <c:numCache>
                <c:formatCode>0.0%</c:formatCode>
                <c:ptCount val="4"/>
                <c:pt idx="0">
                  <c:v>7.6750751080281357E-2</c:v>
                </c:pt>
                <c:pt idx="1">
                  <c:v>3.4850262419676321E-2</c:v>
                </c:pt>
                <c:pt idx="2">
                  <c:v>3.5511610049538254E-2</c:v>
                </c:pt>
                <c:pt idx="3">
                  <c:v>3.2226220041010924E-2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3B8-4AEB-945B-97776E20CCAF}"/>
            </c:ext>
          </c:extLst>
        </c:ser>
        <c:ser>
          <c:idx val="6"/>
          <c:order val="6"/>
          <c:tx>
            <c:strRef>
              <c:f>'G3'!$A$24</c:f>
              <c:strCache>
                <c:ptCount val="1"/>
                <c:pt idx="0">
                  <c:v>stravovanie pacientov 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1"/>
              <c:layout>
                <c:manualLayout>
                  <c:x val="3.1654677215345525E-2"/>
                  <c:y val="-8.05861038291666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63B8-4AEB-945B-97776E20CCAF}"/>
                </c:ext>
              </c:extLst>
            </c:dLbl>
            <c:dLbl>
              <c:idx val="2"/>
              <c:layout>
                <c:manualLayout>
                  <c:x val="-2.1103118143563681E-3"/>
                  <c:y val="-7.69230991096590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63B8-4AEB-945B-97776E20CCAF}"/>
                </c:ext>
              </c:extLst>
            </c:dLbl>
            <c:dLbl>
              <c:idx val="3"/>
              <c:layout>
                <c:manualLayout>
                  <c:x val="-1.8992806329207468E-2"/>
                  <c:y val="-8.05861038291666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'G3'!$B$24:$E$24</c:f>
              <c:numCache>
                <c:formatCode>0.0%</c:formatCode>
                <c:ptCount val="4"/>
                <c:pt idx="0">
                  <c:v>6.1527544270641756E-2</c:v>
                </c:pt>
                <c:pt idx="1">
                  <c:v>3.4089825623475609E-2</c:v>
                </c:pt>
                <c:pt idx="2">
                  <c:v>6.6971383698662609E-3</c:v>
                </c:pt>
                <c:pt idx="3">
                  <c:v>6.1839185419270042E-3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3B8-4AEB-945B-97776E20CCAF}"/>
            </c:ext>
          </c:extLst>
        </c:ser>
        <c:ser>
          <c:idx val="7"/>
          <c:order val="7"/>
          <c:tx>
            <c:strRef>
              <c:f>'G3'!$A$25</c:f>
              <c:strCache>
                <c:ptCount val="1"/>
                <c:pt idx="0">
                  <c:v>spotreba energie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2162707367214861E-2"/>
                  <c:y val="-7.3093961262715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63B8-4AEB-945B-97776E20CCA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3B8-4AEB-945B-97776E20CCAF}"/>
                </c:ext>
              </c:extLst>
            </c:dLbl>
            <c:dLbl>
              <c:idx val="2"/>
              <c:layout>
                <c:manualLayout>
                  <c:x val="5.6389858007586488E-2"/>
                  <c:y val="-8.149695177437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63B8-4AEB-945B-97776E20CCAF}"/>
                </c:ext>
              </c:extLst>
            </c:dLbl>
            <c:dLbl>
              <c:idx val="3"/>
              <c:layout>
                <c:manualLayout>
                  <c:x val="4.5802905517185917E-2"/>
                  <c:y val="-8.4484175386973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'G3'!$B$25:$E$25</c:f>
              <c:numCache>
                <c:formatCode>0.0%</c:formatCode>
                <c:ptCount val="4"/>
                <c:pt idx="0">
                  <c:v>5.8130705831210591E-2</c:v>
                </c:pt>
                <c:pt idx="1">
                  <c:v>2.3497859237529017E-2</c:v>
                </c:pt>
                <c:pt idx="2">
                  <c:v>1.3999265512638154E-2</c:v>
                </c:pt>
                <c:pt idx="3">
                  <c:v>1.5857752159992609E-2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3B8-4AEB-945B-97776E20CCAF}"/>
            </c:ext>
          </c:extLst>
        </c:ser>
        <c:ser>
          <c:idx val="8"/>
          <c:order val="8"/>
          <c:tx>
            <c:strRef>
              <c:f>'G3'!$A$26</c:f>
              <c:strCache>
                <c:ptCount val="1"/>
                <c:pt idx="0">
                  <c:v>oprava a údržba 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5.2757795358909204E-2"/>
                  <c:y val="-6.9597089670643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C14-4029-AFE2-BF5A62675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14-4029-AFE2-BF5A62675168}"/>
                </c:ext>
              </c:extLst>
            </c:dLbl>
            <c:dLbl>
              <c:idx val="2"/>
              <c:layout>
                <c:manualLayout>
                  <c:x val="8.4412472574254729E-2"/>
                  <c:y val="-5.1282066073106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C14-4029-AFE2-BF5A62675168}"/>
                </c:ext>
              </c:extLst>
            </c:dLbl>
            <c:dLbl>
              <c:idx val="3"/>
              <c:layout>
                <c:manualLayout>
                  <c:x val="8.2302160759898199E-2"/>
                  <c:y val="-5.1282066073106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C14-4029-AFE2-BF5A62675168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'G3'!$B$26:$E$26</c:f>
              <c:numCache>
                <c:formatCode>0.0%</c:formatCode>
                <c:ptCount val="4"/>
                <c:pt idx="0">
                  <c:v>3.0339173018361375E-2</c:v>
                </c:pt>
                <c:pt idx="1">
                  <c:v>1.2218718260887598E-2</c:v>
                </c:pt>
                <c:pt idx="2">
                  <c:v>1.0563223628397577E-2</c:v>
                </c:pt>
                <c:pt idx="3">
                  <c:v>1.3039678556744103E-2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3B8-4AEB-945B-97776E20CCAF}"/>
            </c:ext>
          </c:extLst>
        </c:ser>
        <c:ser>
          <c:idx val="9"/>
          <c:order val="9"/>
          <c:tx>
            <c:strRef>
              <c:f>'G3'!$A$27</c:f>
              <c:strCache>
                <c:ptCount val="1"/>
                <c:pt idx="0">
                  <c:v>ostatné náklady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'G3'!$B$27:$E$27</c:f>
              <c:numCache>
                <c:formatCode>0.0%</c:formatCode>
                <c:ptCount val="4"/>
                <c:pt idx="0">
                  <c:v>0.2809424054041364</c:v>
                </c:pt>
                <c:pt idx="1">
                  <c:v>0.17334642014861892</c:v>
                </c:pt>
                <c:pt idx="2">
                  <c:v>0.13271256612750557</c:v>
                </c:pt>
                <c:pt idx="3">
                  <c:v>0.16549372224026093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4-4029-AFE2-BF5A6267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5808"/>
        <c:axId val="830303088"/>
      </c:barChart>
      <c:catAx>
        <c:axId val="83030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3088"/>
        <c:crosses val="autoZero"/>
        <c:auto val="1"/>
        <c:lblAlgn val="ctr"/>
        <c:lblOffset val="100"/>
        <c:noMultiLvlLbl val="0"/>
      </c:catAx>
      <c:valAx>
        <c:axId val="8303030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580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576399176954732"/>
          <c:y val="0.81074879151864265"/>
          <c:w val="0.86423599733336343"/>
          <c:h val="0.15764389767929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4 Štruktúra výnosov v zariadeniach ústavnej zdravotnej starostlivosti v roku 2021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2236152263374487"/>
          <c:y val="0.11924465043190895"/>
          <c:w val="0.73522016460905348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'G4'!$A$12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'G4'!$B$12:$E$12</c:f>
              <c:numCache>
                <c:formatCode>0.0%</c:formatCode>
                <c:ptCount val="4"/>
                <c:pt idx="0">
                  <c:v>0.37343380673844917</c:v>
                </c:pt>
                <c:pt idx="1">
                  <c:v>0.81551005007110866</c:v>
                </c:pt>
                <c:pt idx="2">
                  <c:v>0.72466880076519047</c:v>
                </c:pt>
                <c:pt idx="3">
                  <c:v>0.81651354670787302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01A-9E49-27ABF2F55EB6}"/>
            </c:ext>
          </c:extLst>
        </c:ser>
        <c:ser>
          <c:idx val="1"/>
          <c:order val="1"/>
          <c:tx>
            <c:strRef>
              <c:f>'G4'!$A$13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cs-CZ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A83-4109-86D6-27801AEE96D5}"/>
                </c:ext>
              </c:extLst>
            </c:dLbl>
            <c:dLbl>
              <c:idx val="1"/>
              <c:layout>
                <c:manualLayout>
                  <c:x val="-4.6620046620046623E-2"/>
                  <c:y val="-6.656876115196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54F-401A-9E49-27ABF2F55EB6}"/>
                </c:ext>
              </c:extLst>
            </c:dLbl>
            <c:dLbl>
              <c:idx val="2"/>
              <c:layout>
                <c:manualLayout>
                  <c:x val="-4.1958066052554241E-2"/>
                  <c:y val="-7.3974340097933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54F-401A-9E49-27ABF2F55EB6}"/>
                </c:ext>
              </c:extLst>
            </c:dLbl>
            <c:dLbl>
              <c:idx val="3"/>
              <c:layout>
                <c:manualLayout>
                  <c:x val="4.0410016315528124E-2"/>
                  <c:y val="-8.09536235391188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54F-401A-9E49-27ABF2F55EB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'G4'!$B$13:$E$13</c:f>
              <c:numCache>
                <c:formatCode>0.0%</c:formatCode>
                <c:ptCount val="4"/>
                <c:pt idx="0">
                  <c:v>0.40566155889667255</c:v>
                </c:pt>
                <c:pt idx="1">
                  <c:v>1.1948433119406673E-2</c:v>
                </c:pt>
                <c:pt idx="2">
                  <c:v>2.0338938948163757E-2</c:v>
                </c:pt>
                <c:pt idx="3">
                  <c:v>3.21178090806905E-2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F-401A-9E49-27ABF2F55EB6}"/>
            </c:ext>
          </c:extLst>
        </c:ser>
        <c:ser>
          <c:idx val="2"/>
          <c:order val="2"/>
          <c:tx>
            <c:strRef>
              <c:f>'G4'!$A$14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4F-401A-9E49-27ABF2F55E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4F-401A-9E49-27ABF2F55EB6}"/>
                </c:ext>
              </c:extLst>
            </c:dLbl>
            <c:dLbl>
              <c:idx val="2"/>
              <c:layout>
                <c:manualLayout>
                  <c:x val="8.1089188175802341E-3"/>
                  <c:y val="-5.5803945636344289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54F-401A-9E49-27ABF2F55EB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54F-401A-9E49-27ABF2F55EB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'G4'!$B$14:$E$14</c:f>
              <c:numCache>
                <c:formatCode>0.0%</c:formatCode>
                <c:ptCount val="4"/>
                <c:pt idx="0">
                  <c:v>8.5309598564030711E-3</c:v>
                </c:pt>
                <c:pt idx="1">
                  <c:v>1.106466993315062E-2</c:v>
                </c:pt>
                <c:pt idx="2">
                  <c:v>0.17619061525169888</c:v>
                </c:pt>
                <c:pt idx="3">
                  <c:v>4.8830093312423927E-3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4F-401A-9E49-27ABF2F55EB6}"/>
            </c:ext>
          </c:extLst>
        </c:ser>
        <c:ser>
          <c:idx val="3"/>
          <c:order val="3"/>
          <c:tx>
            <c:strRef>
              <c:f>'G4'!$A$15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'G4'!$B$5:$E$5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'G4'!$B$15:$E$15</c:f>
              <c:numCache>
                <c:formatCode>0.0%</c:formatCode>
                <c:ptCount val="4"/>
                <c:pt idx="0">
                  <c:v>0.21237367450847514</c:v>
                </c:pt>
                <c:pt idx="1">
                  <c:v>0.16147684687633407</c:v>
                </c:pt>
                <c:pt idx="2">
                  <c:v>7.880164503494691E-2</c:v>
                </c:pt>
                <c:pt idx="3">
                  <c:v>0.14648563488019448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4F-401A-9E49-27ABF2F5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2000"/>
        <c:axId val="830316144"/>
      </c:barChart>
      <c:catAx>
        <c:axId val="83030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16144"/>
        <c:crosses val="autoZero"/>
        <c:auto val="1"/>
        <c:lblAlgn val="ctr"/>
        <c:lblOffset val="100"/>
        <c:noMultiLvlLbl val="0"/>
      </c:catAx>
      <c:valAx>
        <c:axId val="8303161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20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83216783216783"/>
          <c:y val="0.8446320987654321"/>
          <c:w val="0.76946386946386947"/>
          <c:h val="0.12795709876543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3</xdr:row>
      <xdr:rowOff>2163</xdr:rowOff>
    </xdr:from>
    <xdr:to>
      <xdr:col>10</xdr:col>
      <xdr:colOff>238125</xdr:colOff>
      <xdr:row>25</xdr:row>
      <xdr:rowOff>85725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34201</xdr:rowOff>
    </xdr:from>
    <xdr:to>
      <xdr:col>10</xdr:col>
      <xdr:colOff>30825</xdr:colOff>
      <xdr:row>18</xdr:row>
      <xdr:rowOff>57149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382732</xdr:colOff>
      <xdr:row>3</xdr:row>
      <xdr:rowOff>66675</xdr:rowOff>
    </xdr:from>
    <xdr:to>
      <xdr:col>12</xdr:col>
      <xdr:colOff>238125</xdr:colOff>
      <xdr:row>20</xdr:row>
      <xdr:rowOff>114299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2</xdr:row>
      <xdr:rowOff>161059</xdr:rowOff>
    </xdr:from>
    <xdr:to>
      <xdr:col>10</xdr:col>
      <xdr:colOff>561975</xdr:colOff>
      <xdr:row>20</xdr:row>
      <xdr:rowOff>142874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tabSelected="1" workbookViewId="0">
      <selection activeCell="A2" sqref="A2"/>
    </sheetView>
  </sheetViews>
  <sheetFormatPr defaultColWidth="9" defaultRowHeight="15" customHeight="1" x14ac:dyDescent="0.2"/>
  <cols>
    <col min="1" max="1" width="8.125" style="3" customWidth="1"/>
    <col min="2" max="2" width="92.5" style="3" customWidth="1"/>
    <col min="3" max="16384" width="9" style="3"/>
  </cols>
  <sheetData>
    <row r="1" spans="1:3" ht="15" customHeight="1" x14ac:dyDescent="0.2">
      <c r="A1" s="147" t="s">
        <v>139</v>
      </c>
      <c r="B1" s="148"/>
      <c r="C1" s="148"/>
    </row>
    <row r="2" spans="1:3" ht="15" customHeight="1" x14ac:dyDescent="0.2">
      <c r="A2" s="93"/>
      <c r="B2" s="94"/>
      <c r="C2" s="95"/>
    </row>
    <row r="3" spans="1:3" ht="15" customHeight="1" x14ac:dyDescent="0.2">
      <c r="A3" s="96"/>
      <c r="B3" s="97" t="s">
        <v>114</v>
      </c>
      <c r="C3" s="97" t="s">
        <v>115</v>
      </c>
    </row>
    <row r="4" spans="1:3" ht="15" customHeight="1" x14ac:dyDescent="0.2">
      <c r="A4" s="98"/>
      <c r="B4" s="107" t="s">
        <v>85</v>
      </c>
      <c r="C4" s="99" t="s">
        <v>117</v>
      </c>
    </row>
    <row r="5" spans="1:3" ht="15" customHeight="1" x14ac:dyDescent="0.2">
      <c r="A5" s="100" t="s">
        <v>116</v>
      </c>
      <c r="B5" s="108" t="s">
        <v>140</v>
      </c>
      <c r="C5" s="101" t="s">
        <v>118</v>
      </c>
    </row>
    <row r="6" spans="1:3" ht="15" customHeight="1" x14ac:dyDescent="0.2">
      <c r="A6" s="98" t="s">
        <v>116</v>
      </c>
      <c r="B6" s="107" t="s">
        <v>141</v>
      </c>
      <c r="C6" s="99" t="s">
        <v>120</v>
      </c>
    </row>
    <row r="7" spans="1:3" ht="15" customHeight="1" x14ac:dyDescent="0.2">
      <c r="A7" s="100" t="s">
        <v>116</v>
      </c>
      <c r="B7" s="109" t="s">
        <v>142</v>
      </c>
      <c r="C7" s="101" t="s">
        <v>121</v>
      </c>
    </row>
    <row r="8" spans="1:3" ht="15" customHeight="1" x14ac:dyDescent="0.2">
      <c r="A8" s="98" t="s">
        <v>119</v>
      </c>
      <c r="B8" s="110" t="s">
        <v>143</v>
      </c>
      <c r="C8" s="99" t="s">
        <v>122</v>
      </c>
    </row>
    <row r="9" spans="1:3" ht="15" customHeight="1" x14ac:dyDescent="0.2">
      <c r="A9" s="100" t="s">
        <v>119</v>
      </c>
      <c r="B9" s="109" t="s">
        <v>144</v>
      </c>
      <c r="C9" s="101" t="s">
        <v>123</v>
      </c>
    </row>
    <row r="10" spans="1:3" ht="15" customHeight="1" x14ac:dyDescent="0.2">
      <c r="A10" s="98" t="s">
        <v>119</v>
      </c>
      <c r="B10" s="110" t="s">
        <v>145</v>
      </c>
      <c r="C10" s="99" t="s">
        <v>124</v>
      </c>
    </row>
    <row r="11" spans="1:3" ht="15" customHeight="1" x14ac:dyDescent="0.2">
      <c r="A11" s="100" t="s">
        <v>119</v>
      </c>
      <c r="B11" s="108" t="s">
        <v>146</v>
      </c>
      <c r="C11" s="101" t="s">
        <v>125</v>
      </c>
    </row>
  </sheetData>
  <mergeCells count="1">
    <mergeCell ref="A1:C1"/>
  </mergeCells>
  <hyperlinks>
    <hyperlink ref="C4" location="Meta!A1" display="Meta"/>
    <hyperlink ref="C5" location="'T1'!A1" display="T1"/>
    <hyperlink ref="C6" location="'T2'!A1" display="T2"/>
    <hyperlink ref="C7" location="'T3'!A1" display="T3"/>
    <hyperlink ref="C8" location="'G1'!A1" display="G1"/>
    <hyperlink ref="C9" location="'G2'!A1" display="G2"/>
    <hyperlink ref="C10" location="'G3'!A1" display="G3"/>
    <hyperlink ref="C11" location="'G4'!A1" display="G4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showGridLines="0" zoomScaleNormal="100" workbookViewId="0">
      <selection activeCell="C23" sqref="C23"/>
    </sheetView>
  </sheetViews>
  <sheetFormatPr defaultColWidth="9" defaultRowHeight="12" x14ac:dyDescent="0.2"/>
  <cols>
    <col min="1" max="1" width="12.125" style="38" customWidth="1"/>
    <col min="2" max="2" width="10.5" style="38" customWidth="1"/>
    <col min="3" max="3" width="61.5" style="38" customWidth="1"/>
    <col min="4" max="22" width="9" style="2"/>
    <col min="23" max="23" width="8" style="2" customWidth="1"/>
    <col min="24" max="16384" width="9" style="2"/>
  </cols>
  <sheetData>
    <row r="1" spans="1:23" ht="13.5" customHeight="1" x14ac:dyDescent="0.2">
      <c r="A1" s="152" t="s">
        <v>139</v>
      </c>
      <c r="B1" s="153"/>
      <c r="C1" s="153"/>
      <c r="E1" s="34"/>
      <c r="F1" s="92" t="s">
        <v>137</v>
      </c>
      <c r="W1" s="35"/>
    </row>
    <row r="2" spans="1:23" s="3" customFormat="1" ht="13.5" customHeight="1" x14ac:dyDescent="0.2">
      <c r="A2" s="46"/>
      <c r="B2" s="47"/>
      <c r="C2" s="47"/>
      <c r="E2" s="48"/>
      <c r="W2" s="49"/>
    </row>
    <row r="3" spans="1:23" ht="21.75" customHeight="1" x14ac:dyDescent="0.2">
      <c r="A3" s="154" t="s">
        <v>85</v>
      </c>
      <c r="B3" s="154"/>
      <c r="C3" s="154"/>
      <c r="E3" s="34"/>
      <c r="W3" s="35"/>
    </row>
    <row r="4" spans="1:23" ht="30.75" customHeight="1" x14ac:dyDescent="0.2">
      <c r="A4" s="155" t="s">
        <v>147</v>
      </c>
      <c r="B4" s="155"/>
      <c r="C4" s="155"/>
      <c r="D4" s="55"/>
      <c r="W4" s="35"/>
    </row>
    <row r="5" spans="1:23" ht="45" customHeight="1" x14ac:dyDescent="0.2">
      <c r="A5" s="156" t="s">
        <v>134</v>
      </c>
      <c r="B5" s="155"/>
      <c r="C5" s="155"/>
      <c r="E5" s="34"/>
      <c r="W5" s="35"/>
    </row>
    <row r="6" spans="1:23" ht="103.5" customHeight="1" x14ac:dyDescent="0.2">
      <c r="A6" s="155" t="s">
        <v>149</v>
      </c>
      <c r="B6" s="155"/>
      <c r="C6" s="155"/>
      <c r="E6" s="34"/>
      <c r="W6" s="35"/>
    </row>
    <row r="7" spans="1:23" ht="14.25" customHeight="1" x14ac:dyDescent="0.2">
      <c r="A7" s="37"/>
      <c r="B7" s="37"/>
      <c r="C7" s="37"/>
    </row>
    <row r="8" spans="1:23" ht="33" customHeight="1" x14ac:dyDescent="0.2">
      <c r="A8" s="149" t="s">
        <v>111</v>
      </c>
      <c r="B8" s="149"/>
      <c r="C8" s="149"/>
    </row>
    <row r="9" spans="1:23" ht="40.5" customHeight="1" x14ac:dyDescent="0.2">
      <c r="A9" s="149" t="s">
        <v>113</v>
      </c>
      <c r="B9" s="149"/>
      <c r="C9" s="149"/>
    </row>
    <row r="10" spans="1:23" ht="32.25" customHeight="1" x14ac:dyDescent="0.2">
      <c r="A10" s="149" t="s">
        <v>112</v>
      </c>
      <c r="B10" s="149"/>
      <c r="C10" s="149"/>
    </row>
    <row r="11" spans="1:23" s="3" customFormat="1" ht="13.5" customHeight="1" x14ac:dyDescent="0.2">
      <c r="A11" s="50"/>
      <c r="B11" s="50"/>
      <c r="C11" s="50"/>
    </row>
    <row r="12" spans="1:23" s="3" customFormat="1" ht="13.5" customHeight="1" x14ac:dyDescent="0.2">
      <c r="A12" s="156" t="s">
        <v>126</v>
      </c>
      <c r="B12" s="156"/>
      <c r="C12" s="156"/>
    </row>
    <row r="13" spans="1:23" s="3" customFormat="1" ht="13.5" customHeight="1" x14ac:dyDescent="0.2">
      <c r="A13" s="40" t="s">
        <v>129</v>
      </c>
      <c r="B13" s="54" t="s">
        <v>128</v>
      </c>
      <c r="C13" s="39"/>
    </row>
    <row r="14" spans="1:23" s="3" customFormat="1" ht="13.5" customHeight="1" x14ac:dyDescent="0.2">
      <c r="A14" s="52" t="s">
        <v>110</v>
      </c>
      <c r="B14" s="53" t="s">
        <v>127</v>
      </c>
      <c r="C14" s="52"/>
    </row>
    <row r="15" spans="1:23" s="3" customFormat="1" ht="13.5" customHeight="1" x14ac:dyDescent="0.2">
      <c r="A15" s="52" t="s">
        <v>132</v>
      </c>
      <c r="B15" s="53" t="s">
        <v>133</v>
      </c>
      <c r="C15" s="52"/>
    </row>
    <row r="16" spans="1:23" s="3" customFormat="1" ht="13.5" customHeight="1" x14ac:dyDescent="0.2">
      <c r="A16" s="52" t="s">
        <v>130</v>
      </c>
      <c r="B16" s="53" t="s">
        <v>131</v>
      </c>
      <c r="C16" s="52"/>
    </row>
    <row r="17" spans="1:3" s="3" customFormat="1" ht="12.75" customHeight="1" x14ac:dyDescent="0.2">
      <c r="A17" s="51"/>
    </row>
    <row r="18" spans="1:3" ht="13.5" customHeight="1" x14ac:dyDescent="0.2">
      <c r="A18" s="88" t="s">
        <v>86</v>
      </c>
      <c r="B18" s="89"/>
      <c r="C18" s="89"/>
    </row>
    <row r="19" spans="1:3" ht="13.5" customHeight="1" x14ac:dyDescent="0.2">
      <c r="A19" s="90" t="s">
        <v>87</v>
      </c>
      <c r="B19" s="90" t="s">
        <v>88</v>
      </c>
      <c r="C19" s="90" t="s">
        <v>89</v>
      </c>
    </row>
    <row r="20" spans="1:3" ht="13.5" customHeight="1" x14ac:dyDescent="0.2">
      <c r="A20" s="90" t="s">
        <v>90</v>
      </c>
      <c r="B20" s="90" t="s">
        <v>91</v>
      </c>
      <c r="C20" s="90" t="s">
        <v>92</v>
      </c>
    </row>
    <row r="21" spans="1:3" ht="13.5" customHeight="1" x14ac:dyDescent="0.2">
      <c r="A21" s="90" t="s">
        <v>93</v>
      </c>
      <c r="B21" s="90" t="s">
        <v>94</v>
      </c>
      <c r="C21" s="90" t="s">
        <v>95</v>
      </c>
    </row>
    <row r="22" spans="1:3" ht="13.5" customHeight="1" x14ac:dyDescent="0.2">
      <c r="A22" s="90" t="s">
        <v>96</v>
      </c>
      <c r="B22" s="90" t="s">
        <v>97</v>
      </c>
      <c r="C22" s="90" t="s">
        <v>98</v>
      </c>
    </row>
    <row r="23" spans="1:3" ht="13.5" customHeight="1" x14ac:dyDescent="0.2">
      <c r="A23" s="90" t="s">
        <v>99</v>
      </c>
      <c r="B23" s="90" t="s">
        <v>100</v>
      </c>
      <c r="C23" s="90" t="s">
        <v>101</v>
      </c>
    </row>
    <row r="24" spans="1:3" ht="13.5" customHeight="1" x14ac:dyDescent="0.2">
      <c r="A24" s="91" t="s">
        <v>102</v>
      </c>
      <c r="B24" s="90" t="s">
        <v>103</v>
      </c>
      <c r="C24" s="90" t="s">
        <v>104</v>
      </c>
    </row>
    <row r="25" spans="1:3" ht="13.5" customHeight="1" x14ac:dyDescent="0.2">
      <c r="A25" s="90" t="s">
        <v>105</v>
      </c>
      <c r="B25" s="90"/>
      <c r="C25" s="90" t="s">
        <v>106</v>
      </c>
    </row>
    <row r="26" spans="1:3" ht="13.5" customHeight="1" x14ac:dyDescent="0.2">
      <c r="A26" s="90" t="s">
        <v>107</v>
      </c>
      <c r="B26" s="90"/>
      <c r="C26" s="90" t="s">
        <v>108</v>
      </c>
    </row>
    <row r="27" spans="1:3" ht="13.5" customHeight="1" x14ac:dyDescent="0.2">
      <c r="A27" s="41"/>
      <c r="B27" s="36"/>
      <c r="C27" s="36"/>
    </row>
    <row r="28" spans="1:3" ht="13.5" customHeight="1" x14ac:dyDescent="0.2">
      <c r="A28" s="150" t="s">
        <v>109</v>
      </c>
      <c r="B28" s="150"/>
      <c r="C28" s="150"/>
    </row>
    <row r="29" spans="1:3" ht="12" customHeight="1" x14ac:dyDescent="0.2">
      <c r="A29" s="151" t="s">
        <v>148</v>
      </c>
      <c r="B29" s="151"/>
      <c r="C29" s="151"/>
    </row>
    <row r="30" spans="1:3" ht="12" customHeight="1" x14ac:dyDescent="0.2"/>
    <row r="31" spans="1:3" ht="12" customHeight="1" x14ac:dyDescent="0.2"/>
  </sheetData>
  <mergeCells count="11">
    <mergeCell ref="A8:C8"/>
    <mergeCell ref="A10:C10"/>
    <mergeCell ref="A28:C28"/>
    <mergeCell ref="A29:C29"/>
    <mergeCell ref="A1:C1"/>
    <mergeCell ref="A9:C9"/>
    <mergeCell ref="A3:C3"/>
    <mergeCell ref="A4:C4"/>
    <mergeCell ref="A5:C5"/>
    <mergeCell ref="A6:C6"/>
    <mergeCell ref="A12:C12"/>
  </mergeCells>
  <hyperlinks>
    <hyperlink ref="F1" location="Obsah!A1" display="Naspäť na obsah"/>
  </hyperlinks>
  <pageMargins left="0.7" right="0.7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GridLines="0" zoomScaleNormal="100" workbookViewId="0">
      <selection activeCell="A3" sqref="A3"/>
    </sheetView>
  </sheetViews>
  <sheetFormatPr defaultColWidth="9" defaultRowHeight="13.5" customHeight="1" x14ac:dyDescent="0.2"/>
  <cols>
    <col min="1" max="1" width="27.125" style="2" customWidth="1"/>
    <col min="2" max="2" width="13.75" style="2" customWidth="1"/>
    <col min="3" max="17" width="12.625" style="2" customWidth="1"/>
    <col min="18" max="18" width="15.875" style="2" customWidth="1"/>
    <col min="19" max="29" width="14" style="2" customWidth="1"/>
    <col min="30" max="16384" width="9" style="2"/>
  </cols>
  <sheetData>
    <row r="1" spans="1:17" ht="13.5" customHeight="1" x14ac:dyDescent="0.2">
      <c r="A1" s="16" t="s">
        <v>139</v>
      </c>
      <c r="I1" s="131" t="s">
        <v>137</v>
      </c>
    </row>
    <row r="2" spans="1:17" ht="13.5" customHeight="1" x14ac:dyDescent="0.2">
      <c r="A2" s="1" t="s">
        <v>140</v>
      </c>
    </row>
    <row r="4" spans="1:17" ht="13.5" customHeight="1" x14ac:dyDescent="0.2">
      <c r="A4" s="157" t="s">
        <v>29</v>
      </c>
      <c r="B4" s="157" t="s">
        <v>23</v>
      </c>
      <c r="C4" s="158" t="s">
        <v>36</v>
      </c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60"/>
    </row>
    <row r="5" spans="1:17" ht="38.25" customHeight="1" x14ac:dyDescent="0.2">
      <c r="A5" s="157"/>
      <c r="B5" s="157"/>
      <c r="C5" s="81" t="s">
        <v>0</v>
      </c>
      <c r="D5" s="81" t="s">
        <v>1</v>
      </c>
      <c r="E5" s="81" t="s">
        <v>2</v>
      </c>
      <c r="F5" s="81" t="s">
        <v>151</v>
      </c>
      <c r="G5" s="81" t="s">
        <v>3</v>
      </c>
      <c r="H5" s="81" t="s">
        <v>135</v>
      </c>
      <c r="I5" s="81" t="s">
        <v>4</v>
      </c>
      <c r="J5" s="81" t="s">
        <v>5</v>
      </c>
      <c r="K5" s="81" t="s">
        <v>6</v>
      </c>
      <c r="L5" s="81" t="s">
        <v>7</v>
      </c>
      <c r="M5" s="81" t="s">
        <v>8</v>
      </c>
      <c r="N5" s="81" t="s">
        <v>9</v>
      </c>
      <c r="O5" s="81" t="s">
        <v>138</v>
      </c>
      <c r="P5" s="81" t="s">
        <v>57</v>
      </c>
      <c r="Q5" s="82" t="s">
        <v>10</v>
      </c>
    </row>
    <row r="6" spans="1:17" ht="13.5" customHeight="1" x14ac:dyDescent="0.2">
      <c r="A6" s="111" t="s">
        <v>11</v>
      </c>
      <c r="B6" s="141">
        <v>10504</v>
      </c>
      <c r="C6" s="141">
        <v>20</v>
      </c>
      <c r="D6" s="141">
        <v>5</v>
      </c>
      <c r="E6" s="141">
        <v>35</v>
      </c>
      <c r="F6" s="141">
        <v>3</v>
      </c>
      <c r="G6" s="141">
        <v>5</v>
      </c>
      <c r="H6" s="141">
        <v>8</v>
      </c>
      <c r="I6" s="141">
        <v>7</v>
      </c>
      <c r="J6" s="141">
        <v>12</v>
      </c>
      <c r="K6" s="141">
        <v>2034</v>
      </c>
      <c r="L6" s="141">
        <v>7819</v>
      </c>
      <c r="M6" s="141">
        <v>72</v>
      </c>
      <c r="N6" s="141">
        <v>76</v>
      </c>
      <c r="O6" s="141">
        <v>3</v>
      </c>
      <c r="P6" s="141">
        <v>20</v>
      </c>
      <c r="Q6" s="141">
        <v>8</v>
      </c>
    </row>
    <row r="7" spans="1:17" ht="13.5" customHeight="1" x14ac:dyDescent="0.2">
      <c r="A7" s="113" t="s">
        <v>12</v>
      </c>
      <c r="B7" s="142">
        <v>6966342353.6800108</v>
      </c>
      <c r="C7" s="142">
        <v>166878700.24000001</v>
      </c>
      <c r="D7" s="142">
        <v>293963197.39999998</v>
      </c>
      <c r="E7" s="142">
        <v>1861180637.3799999</v>
      </c>
      <c r="F7" s="142">
        <v>10325299.109999999</v>
      </c>
      <c r="G7" s="142">
        <v>96418150.549999997</v>
      </c>
      <c r="H7" s="142">
        <v>18422070.84</v>
      </c>
      <c r="I7" s="142">
        <v>40955412.989999995</v>
      </c>
      <c r="J7" s="142">
        <v>214712465.61000001</v>
      </c>
      <c r="K7" s="142">
        <v>204891364.95999992</v>
      </c>
      <c r="L7" s="142">
        <v>3160797953.5299993</v>
      </c>
      <c r="M7" s="142">
        <v>61185336.38000001</v>
      </c>
      <c r="N7" s="142">
        <v>759609488.65999997</v>
      </c>
      <c r="O7" s="142">
        <v>1007299</v>
      </c>
      <c r="P7" s="142">
        <v>4542821.330000001</v>
      </c>
      <c r="Q7" s="142">
        <v>3984162.5</v>
      </c>
    </row>
    <row r="8" spans="1:17" ht="13.5" customHeight="1" x14ac:dyDescent="0.2">
      <c r="A8" s="115" t="s">
        <v>13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>
        <v>0</v>
      </c>
      <c r="N8" s="143"/>
      <c r="O8" s="143"/>
      <c r="P8" s="143"/>
      <c r="Q8" s="143"/>
    </row>
    <row r="9" spans="1:17" ht="13.5" customHeight="1" x14ac:dyDescent="0.2">
      <c r="A9" s="57" t="s">
        <v>15</v>
      </c>
      <c r="B9" s="144">
        <v>2038397010.0299983</v>
      </c>
      <c r="C9" s="144">
        <v>78053447.519999981</v>
      </c>
      <c r="D9" s="144">
        <v>95074155.719999984</v>
      </c>
      <c r="E9" s="144">
        <v>736647336.41000009</v>
      </c>
      <c r="F9" s="144">
        <v>3067583.1</v>
      </c>
      <c r="G9" s="144">
        <v>40831829.520000003</v>
      </c>
      <c r="H9" s="144">
        <v>7671685.3699999992</v>
      </c>
      <c r="I9" s="144">
        <v>18345701.239999998</v>
      </c>
      <c r="J9" s="144">
        <v>101001964.91999999</v>
      </c>
      <c r="K9" s="143">
        <v>27344285.779999986</v>
      </c>
      <c r="L9" s="144">
        <v>609792925.98999941</v>
      </c>
      <c r="M9" s="144">
        <v>26015185.609999999</v>
      </c>
      <c r="N9" s="144">
        <v>262799011.07000005</v>
      </c>
      <c r="O9" s="144">
        <v>86724</v>
      </c>
      <c r="P9" s="144">
        <v>1545966.75</v>
      </c>
      <c r="Q9" s="144">
        <v>2135583.37</v>
      </c>
    </row>
    <row r="10" spans="1:17" ht="13.5" customHeight="1" x14ac:dyDescent="0.2">
      <c r="A10" s="57" t="s">
        <v>16</v>
      </c>
      <c r="B10" s="144">
        <v>720233739.91000211</v>
      </c>
      <c r="C10" s="144">
        <v>29948514.440000001</v>
      </c>
      <c r="D10" s="144">
        <v>33168654.950000003</v>
      </c>
      <c r="E10" s="144">
        <v>261751176.25999999</v>
      </c>
      <c r="F10" s="144">
        <v>1053601.94</v>
      </c>
      <c r="G10" s="144">
        <v>14052263.800000001</v>
      </c>
      <c r="H10" s="144">
        <v>2668971.3399999994</v>
      </c>
      <c r="I10" s="144">
        <v>6364250.25</v>
      </c>
      <c r="J10" s="144">
        <v>34626885.520000003</v>
      </c>
      <c r="K10" s="143">
        <v>21988410.210000008</v>
      </c>
      <c r="L10" s="144">
        <v>209288587.08999947</v>
      </c>
      <c r="M10" s="144">
        <v>9043147.0599999987</v>
      </c>
      <c r="N10" s="144">
        <v>86302801.979999989</v>
      </c>
      <c r="O10" s="144">
        <v>38693</v>
      </c>
      <c r="P10" s="144">
        <v>570429.13</v>
      </c>
      <c r="Q10" s="144">
        <v>742029.07</v>
      </c>
    </row>
    <row r="11" spans="1:17" ht="13.5" customHeight="1" x14ac:dyDescent="0.2">
      <c r="A11" s="57" t="s">
        <v>17</v>
      </c>
      <c r="B11" s="144">
        <v>1532468817.3500056</v>
      </c>
      <c r="C11" s="144">
        <v>12059721.650000002</v>
      </c>
      <c r="D11" s="144">
        <v>32261049.530000001</v>
      </c>
      <c r="E11" s="144">
        <v>266812736.52000001</v>
      </c>
      <c r="F11" s="144">
        <v>1138529.81</v>
      </c>
      <c r="G11" s="144">
        <v>7030031.2599999998</v>
      </c>
      <c r="H11" s="144">
        <v>2372005.54</v>
      </c>
      <c r="I11" s="144">
        <v>7712636.8199999994</v>
      </c>
      <c r="J11" s="144">
        <v>21004575.779999997</v>
      </c>
      <c r="K11" s="143">
        <v>66124807.000000007</v>
      </c>
      <c r="L11" s="144">
        <v>1065160651.0499996</v>
      </c>
      <c r="M11" s="144">
        <v>5901747.7600000016</v>
      </c>
      <c r="N11" s="144">
        <v>41086480.439999998</v>
      </c>
      <c r="O11" s="144">
        <v>811</v>
      </c>
      <c r="P11" s="144">
        <v>72147.789999999994</v>
      </c>
      <c r="Q11" s="144">
        <v>48097.26</v>
      </c>
    </row>
    <row r="12" spans="1:17" ht="13.5" customHeight="1" x14ac:dyDescent="0.2">
      <c r="A12" s="57" t="s">
        <v>18</v>
      </c>
      <c r="B12" s="144">
        <v>668098190.95999706</v>
      </c>
      <c r="C12" s="144">
        <v>5689307.1100000003</v>
      </c>
      <c r="D12" s="144">
        <v>86835822.879999995</v>
      </c>
      <c r="E12" s="144">
        <v>182413261.92000002</v>
      </c>
      <c r="F12" s="144">
        <v>188368.07</v>
      </c>
      <c r="G12" s="144">
        <v>13535991.5</v>
      </c>
      <c r="H12" s="144">
        <v>1241219.3899999999</v>
      </c>
      <c r="I12" s="144">
        <v>836979.99</v>
      </c>
      <c r="J12" s="144">
        <v>15171536.689999999</v>
      </c>
      <c r="K12" s="143">
        <v>20694461.509999998</v>
      </c>
      <c r="L12" s="144">
        <v>252934953.69000053</v>
      </c>
      <c r="M12" s="144">
        <v>4153167.0500000003</v>
      </c>
      <c r="N12" s="144">
        <v>78219516.270000026</v>
      </c>
      <c r="O12" s="144">
        <v>813954</v>
      </c>
      <c r="P12" s="144">
        <v>316205.2</v>
      </c>
      <c r="Q12" s="144">
        <v>57729.59</v>
      </c>
    </row>
    <row r="13" spans="1:17" ht="13.5" customHeight="1" x14ac:dyDescent="0.2">
      <c r="A13" s="57" t="s">
        <v>28</v>
      </c>
      <c r="B13" s="144">
        <v>31527464.390000004</v>
      </c>
      <c r="C13" s="144">
        <v>1211750.98</v>
      </c>
      <c r="D13" s="144">
        <v>2267163.2799999998</v>
      </c>
      <c r="E13" s="144">
        <v>18213373.52</v>
      </c>
      <c r="F13" s="144" t="s">
        <v>56</v>
      </c>
      <c r="G13" s="144">
        <v>584714.22</v>
      </c>
      <c r="H13" s="144">
        <v>114288.31</v>
      </c>
      <c r="I13" s="144">
        <v>198966.74000000002</v>
      </c>
      <c r="J13" s="144">
        <v>3033166.7800000003</v>
      </c>
      <c r="K13" s="143">
        <v>9144.8700000000008</v>
      </c>
      <c r="L13" s="144">
        <v>2215855.36</v>
      </c>
      <c r="M13" s="144">
        <v>290852.63</v>
      </c>
      <c r="N13" s="144">
        <v>3241266.6799999997</v>
      </c>
      <c r="O13" s="144" t="s">
        <v>56</v>
      </c>
      <c r="P13" s="144" t="s">
        <v>56</v>
      </c>
      <c r="Q13" s="144">
        <v>279</v>
      </c>
    </row>
    <row r="14" spans="1:17" ht="13.5" customHeight="1" x14ac:dyDescent="0.2">
      <c r="A14" s="57" t="s">
        <v>19</v>
      </c>
      <c r="B14" s="144">
        <v>251618954.93000001</v>
      </c>
      <c r="C14" s="144">
        <v>6367462.6799999997</v>
      </c>
      <c r="D14" s="144">
        <v>14006285.970000001</v>
      </c>
      <c r="E14" s="144">
        <v>65434944.730000004</v>
      </c>
      <c r="F14" s="144">
        <v>1097718.75</v>
      </c>
      <c r="G14" s="144">
        <v>6563768.9800000004</v>
      </c>
      <c r="H14" s="144">
        <v>203804.34000000003</v>
      </c>
      <c r="I14" s="144">
        <v>1178576.6400000001</v>
      </c>
      <c r="J14" s="144">
        <v>8296883.5500000007</v>
      </c>
      <c r="K14" s="143">
        <v>7491466.7300000004</v>
      </c>
      <c r="L14" s="144">
        <v>117124618.80999997</v>
      </c>
      <c r="M14" s="144">
        <v>1989697.3499999999</v>
      </c>
      <c r="N14" s="144">
        <v>19836594.409999996</v>
      </c>
      <c r="O14" s="144">
        <v>2021</v>
      </c>
      <c r="P14" s="144">
        <v>158085.94</v>
      </c>
      <c r="Q14" s="144">
        <v>192972.66</v>
      </c>
    </row>
    <row r="15" spans="1:17" ht="13.5" customHeight="1" x14ac:dyDescent="0.2">
      <c r="A15" s="57" t="s">
        <v>20</v>
      </c>
      <c r="B15" s="144">
        <v>86100947.660000056</v>
      </c>
      <c r="C15" s="144">
        <v>3594925.7299999995</v>
      </c>
      <c r="D15" s="144">
        <v>3368188.47</v>
      </c>
      <c r="E15" s="144">
        <v>25630828.169999994</v>
      </c>
      <c r="F15" s="144">
        <v>728364.49</v>
      </c>
      <c r="G15" s="144">
        <v>1518791.8</v>
      </c>
      <c r="H15" s="144">
        <v>228294.54</v>
      </c>
      <c r="I15" s="144">
        <v>643387.36</v>
      </c>
      <c r="J15" s="144">
        <v>4497521.95</v>
      </c>
      <c r="K15" s="143">
        <v>2937519.9299999997</v>
      </c>
      <c r="L15" s="144">
        <v>27153172.070000045</v>
      </c>
      <c r="M15" s="144">
        <v>693631.55</v>
      </c>
      <c r="N15" s="144">
        <v>12667794.42</v>
      </c>
      <c r="O15" s="144">
        <v>4223</v>
      </c>
      <c r="P15" s="144">
        <v>75779.19</v>
      </c>
      <c r="Q15" s="144">
        <v>47421.58</v>
      </c>
    </row>
    <row r="16" spans="1:17" ht="13.5" customHeight="1" x14ac:dyDescent="0.2">
      <c r="A16" s="57" t="s">
        <v>31</v>
      </c>
      <c r="B16" s="144">
        <v>84636864.02000007</v>
      </c>
      <c r="C16" s="144">
        <v>2780657.6700000004</v>
      </c>
      <c r="D16" s="144">
        <v>4635298.22</v>
      </c>
      <c r="E16" s="144">
        <v>19073685.859999999</v>
      </c>
      <c r="F16" s="144">
        <v>110246.81</v>
      </c>
      <c r="G16" s="144">
        <v>2557008.73</v>
      </c>
      <c r="H16" s="144">
        <v>111757.15000000001</v>
      </c>
      <c r="I16" s="144">
        <v>683299.05</v>
      </c>
      <c r="J16" s="144">
        <v>2539778.0699999994</v>
      </c>
      <c r="K16" s="143">
        <v>3475384.2299999991</v>
      </c>
      <c r="L16" s="144">
        <v>38035409.139999971</v>
      </c>
      <c r="M16" s="144">
        <v>596284.87</v>
      </c>
      <c r="N16" s="144">
        <v>8949742.3399999999</v>
      </c>
      <c r="O16" s="144">
        <v>2540</v>
      </c>
      <c r="P16" s="144">
        <v>50075.24</v>
      </c>
      <c r="Q16" s="144">
        <v>42775.89</v>
      </c>
    </row>
    <row r="17" spans="1:17" ht="13.5" customHeight="1" x14ac:dyDescent="0.2">
      <c r="A17" s="113" t="s">
        <v>14</v>
      </c>
      <c r="B17" s="145">
        <v>7373678072.9100018</v>
      </c>
      <c r="C17" s="145">
        <v>161342186.91</v>
      </c>
      <c r="D17" s="145">
        <v>325344607.74000001</v>
      </c>
      <c r="E17" s="145">
        <v>1765031803.6299999</v>
      </c>
      <c r="F17" s="145">
        <v>12542683.440000001</v>
      </c>
      <c r="G17" s="145">
        <v>84992981.150000006</v>
      </c>
      <c r="H17" s="145">
        <v>18343266.189999998</v>
      </c>
      <c r="I17" s="145">
        <v>43925473.559999995</v>
      </c>
      <c r="J17" s="145">
        <v>207389056.69</v>
      </c>
      <c r="K17" s="142">
        <v>256966555.33999997</v>
      </c>
      <c r="L17" s="145">
        <v>3497127794.999989</v>
      </c>
      <c r="M17" s="145">
        <v>62804086.499999993</v>
      </c>
      <c r="N17" s="145">
        <v>856734943.99999988</v>
      </c>
      <c r="O17" s="145">
        <v>976298.24</v>
      </c>
      <c r="P17" s="145">
        <v>5084855.8</v>
      </c>
      <c r="Q17" s="145">
        <v>4883470.38</v>
      </c>
    </row>
    <row r="18" spans="1:17" ht="13.5" customHeight="1" x14ac:dyDescent="0.2">
      <c r="A18" s="57" t="s">
        <v>34</v>
      </c>
      <c r="B18" s="144">
        <v>4942660239.5900116</v>
      </c>
      <c r="C18" s="144">
        <v>127682980.22999999</v>
      </c>
      <c r="D18" s="144">
        <v>299703604.31999999</v>
      </c>
      <c r="E18" s="144">
        <v>1267773067.6799998</v>
      </c>
      <c r="F18" s="144">
        <v>4937665.95</v>
      </c>
      <c r="G18" s="144">
        <v>50937243.119999997</v>
      </c>
      <c r="H18" s="144">
        <v>12252721.959999999</v>
      </c>
      <c r="I18" s="144">
        <v>30139578.640000001</v>
      </c>
      <c r="J18" s="144">
        <v>158644370.15000001</v>
      </c>
      <c r="K18" s="143">
        <v>161552648.07999986</v>
      </c>
      <c r="L18" s="144">
        <v>2189677540.9200063</v>
      </c>
      <c r="M18" s="144">
        <v>38892772.210000001</v>
      </c>
      <c r="N18" s="144">
        <v>570356839.30999994</v>
      </c>
      <c r="O18" s="144">
        <v>794162.08</v>
      </c>
      <c r="P18" s="144">
        <v>1423344.41</v>
      </c>
      <c r="Q18" s="144">
        <v>4239861.91</v>
      </c>
    </row>
    <row r="19" spans="1:17" ht="13.5" customHeight="1" x14ac:dyDescent="0.2">
      <c r="A19" s="57" t="s">
        <v>21</v>
      </c>
      <c r="B19" s="144">
        <v>1318116811.639997</v>
      </c>
      <c r="C19" s="144">
        <v>4916946.6199999992</v>
      </c>
      <c r="D19" s="144">
        <v>13383581.5</v>
      </c>
      <c r="E19" s="144">
        <v>24264896.660000004</v>
      </c>
      <c r="F19" s="144">
        <v>7047650.6299999999</v>
      </c>
      <c r="G19" s="144">
        <v>11000784.689999999</v>
      </c>
      <c r="H19" s="144">
        <v>1172394.5900000001</v>
      </c>
      <c r="I19" s="144">
        <v>2373124.88</v>
      </c>
      <c r="J19" s="144">
        <v>6960659.9100000001</v>
      </c>
      <c r="K19" s="143">
        <v>86829976.89000003</v>
      </c>
      <c r="L19" s="144">
        <v>1053305273.5599989</v>
      </c>
      <c r="M19" s="144">
        <v>4097216.2800000003</v>
      </c>
      <c r="N19" s="144">
        <v>94040791.149999976</v>
      </c>
      <c r="O19" s="144">
        <v>179663.16</v>
      </c>
      <c r="P19" s="144">
        <v>189314.47000000003</v>
      </c>
      <c r="Q19" s="144">
        <v>204839.8</v>
      </c>
    </row>
    <row r="20" spans="1:17" ht="13.5" customHeight="1" x14ac:dyDescent="0.2">
      <c r="A20" s="117" t="s">
        <v>22</v>
      </c>
      <c r="B20" s="144">
        <v>503365901.20999885</v>
      </c>
      <c r="C20" s="144">
        <v>105793.87000000001</v>
      </c>
      <c r="D20" s="144">
        <v>10221209.580000002</v>
      </c>
      <c r="E20" s="144">
        <v>12131698.289999999</v>
      </c>
      <c r="F20" s="144" t="s">
        <v>56</v>
      </c>
      <c r="G20" s="144">
        <v>2703242.6</v>
      </c>
      <c r="H20" s="144">
        <v>891656</v>
      </c>
      <c r="I20" s="144">
        <v>670973.84</v>
      </c>
      <c r="J20" s="144">
        <v>2124679.56</v>
      </c>
      <c r="K20" s="143">
        <v>28554116.060000006</v>
      </c>
      <c r="L20" s="144">
        <v>438909815.86999971</v>
      </c>
      <c r="M20" s="144">
        <v>583811.89</v>
      </c>
      <c r="N20" s="144">
        <v>5288670.4399999995</v>
      </c>
      <c r="O20" s="144">
        <v>711</v>
      </c>
      <c r="P20" s="144" t="s">
        <v>56</v>
      </c>
      <c r="Q20" s="144" t="s">
        <v>56</v>
      </c>
    </row>
    <row r="21" spans="1:17" ht="13.5" customHeight="1" x14ac:dyDescent="0.2">
      <c r="A21" s="118" t="s">
        <v>35</v>
      </c>
      <c r="B21" s="144">
        <v>359295121.96999925</v>
      </c>
      <c r="C21" s="144">
        <v>3064916.0599999996</v>
      </c>
      <c r="D21" s="144" t="s">
        <v>56</v>
      </c>
      <c r="E21" s="144">
        <v>316802917.88999999</v>
      </c>
      <c r="F21" s="144" t="s">
        <v>56</v>
      </c>
      <c r="G21" s="144">
        <v>16040858.550000001</v>
      </c>
      <c r="H21" s="144">
        <v>21363</v>
      </c>
      <c r="I21" s="144">
        <v>622218.39</v>
      </c>
      <c r="J21" s="144">
        <v>210511.54</v>
      </c>
      <c r="K21" s="143">
        <v>477324.85999999993</v>
      </c>
      <c r="L21" s="144">
        <v>4850608.0000000075</v>
      </c>
      <c r="M21" s="144">
        <v>4626903.5600000005</v>
      </c>
      <c r="N21" s="144">
        <v>406783.53</v>
      </c>
      <c r="O21" s="144" t="s">
        <v>56</v>
      </c>
      <c r="P21" s="144">
        <v>82872.479999999996</v>
      </c>
      <c r="Q21" s="144">
        <v>14312.11</v>
      </c>
    </row>
    <row r="22" spans="1:17" ht="13.5" customHeight="1" x14ac:dyDescent="0.2">
      <c r="A22" s="118" t="s">
        <v>33</v>
      </c>
      <c r="B22" s="144">
        <v>753605899.70999622</v>
      </c>
      <c r="C22" s="144">
        <v>25677343.999999996</v>
      </c>
      <c r="D22" s="144">
        <v>12257421.92</v>
      </c>
      <c r="E22" s="144">
        <v>156190921.40000001</v>
      </c>
      <c r="F22" s="144">
        <v>557366.86</v>
      </c>
      <c r="G22" s="144">
        <v>7014094.79</v>
      </c>
      <c r="H22" s="144">
        <v>4896786.6399999997</v>
      </c>
      <c r="I22" s="144">
        <v>10790551.649999999</v>
      </c>
      <c r="J22" s="144">
        <v>41573515.090000004</v>
      </c>
      <c r="K22" s="143">
        <v>8106605.5099999961</v>
      </c>
      <c r="L22" s="144">
        <v>249294372.52000067</v>
      </c>
      <c r="M22" s="144">
        <v>15187194.449999999</v>
      </c>
      <c r="N22" s="144">
        <v>191930530.00999993</v>
      </c>
      <c r="O22" s="144">
        <v>2473</v>
      </c>
      <c r="P22" s="144">
        <v>3389324.4399999995</v>
      </c>
      <c r="Q22" s="144">
        <v>424456.56000000006</v>
      </c>
    </row>
    <row r="23" spans="1:17" ht="13.5" customHeight="1" x14ac:dyDescent="0.2">
      <c r="A23" s="119" t="s">
        <v>27</v>
      </c>
      <c r="B23" s="132">
        <v>407335719.23000002</v>
      </c>
      <c r="C23" s="132">
        <v>-5536513.3299999991</v>
      </c>
      <c r="D23" s="132">
        <v>31381410.34</v>
      </c>
      <c r="E23" s="132">
        <v>-96148833.750000015</v>
      </c>
      <c r="F23" s="132">
        <v>2217384.33</v>
      </c>
      <c r="G23" s="132">
        <v>-11425169.399999999</v>
      </c>
      <c r="H23" s="132">
        <v>-78804.649999999994</v>
      </c>
      <c r="I23" s="132">
        <v>2970060.5700000003</v>
      </c>
      <c r="J23" s="132">
        <v>-7323408.919999999</v>
      </c>
      <c r="K23" s="133">
        <v>52075190.380000025</v>
      </c>
      <c r="L23" s="132">
        <v>336329841.47000003</v>
      </c>
      <c r="M23" s="132">
        <v>1618750.1200000015</v>
      </c>
      <c r="N23" s="132">
        <v>97125455.340000004</v>
      </c>
      <c r="O23" s="132">
        <v>-31000.759999999995</v>
      </c>
      <c r="P23" s="132">
        <v>542034.46999999986</v>
      </c>
      <c r="Q23" s="132">
        <v>899307.88</v>
      </c>
    </row>
  </sheetData>
  <mergeCells count="3">
    <mergeCell ref="A4:A5"/>
    <mergeCell ref="B4:B5"/>
    <mergeCell ref="C4:Q4"/>
  </mergeCells>
  <hyperlinks>
    <hyperlink ref="I1" location="Obsah!A1" display="Naspäť na obsah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"/>
  <dimension ref="A1:H38"/>
  <sheetViews>
    <sheetView showGridLines="0" zoomScaleNormal="100" workbookViewId="0">
      <selection activeCell="A3" sqref="A3"/>
    </sheetView>
  </sheetViews>
  <sheetFormatPr defaultColWidth="9" defaultRowHeight="13.5" customHeight="1" x14ac:dyDescent="0.2"/>
  <cols>
    <col min="1" max="1" width="38.875" style="2" customWidth="1"/>
    <col min="2" max="2" width="14" style="2" customWidth="1"/>
    <col min="3" max="6" width="13.625" style="2" customWidth="1"/>
    <col min="7" max="7" width="12" style="2" customWidth="1"/>
    <col min="8" max="9" width="15.875" style="2" customWidth="1"/>
    <col min="10" max="35" width="14" style="2" customWidth="1"/>
    <col min="36" max="16384" width="9" style="2"/>
  </cols>
  <sheetData>
    <row r="1" spans="1:8" ht="13.5" customHeight="1" x14ac:dyDescent="0.2">
      <c r="A1" s="16" t="s">
        <v>139</v>
      </c>
      <c r="F1" s="131" t="s">
        <v>137</v>
      </c>
    </row>
    <row r="2" spans="1:8" ht="12.75" customHeight="1" x14ac:dyDescent="0.2">
      <c r="A2" s="6" t="s">
        <v>141</v>
      </c>
      <c r="B2" s="3"/>
      <c r="H2" s="3"/>
    </row>
    <row r="3" spans="1:8" ht="13.5" customHeight="1" x14ac:dyDescent="0.2">
      <c r="A3" s="7"/>
      <c r="H3" s="3"/>
    </row>
    <row r="4" spans="1:8" ht="18.75" customHeight="1" x14ac:dyDescent="0.2">
      <c r="A4" s="161" t="s">
        <v>29</v>
      </c>
      <c r="B4" s="161" t="s">
        <v>30</v>
      </c>
      <c r="C4" s="163" t="s">
        <v>48</v>
      </c>
      <c r="D4" s="164"/>
      <c r="E4" s="164"/>
      <c r="F4" s="165"/>
      <c r="G4" s="5"/>
    </row>
    <row r="5" spans="1:8" ht="48.75" customHeight="1" x14ac:dyDescent="0.2">
      <c r="A5" s="162"/>
      <c r="B5" s="162"/>
      <c r="C5" s="82" t="s">
        <v>24</v>
      </c>
      <c r="D5" s="82" t="s">
        <v>25</v>
      </c>
      <c r="E5" s="82" t="s">
        <v>26</v>
      </c>
      <c r="F5" s="82" t="s">
        <v>47</v>
      </c>
      <c r="G5" s="5"/>
    </row>
    <row r="6" spans="1:8" ht="13.5" customHeight="1" x14ac:dyDescent="0.2">
      <c r="A6" s="111" t="s">
        <v>11</v>
      </c>
      <c r="B6" s="138">
        <v>145</v>
      </c>
      <c r="C6" s="138">
        <v>81</v>
      </c>
      <c r="D6" s="138">
        <v>16</v>
      </c>
      <c r="E6" s="138">
        <v>13</v>
      </c>
      <c r="F6" s="138">
        <v>35</v>
      </c>
      <c r="G6" s="5"/>
    </row>
    <row r="7" spans="1:8" ht="13.5" customHeight="1" x14ac:dyDescent="0.2">
      <c r="A7" s="113" t="s">
        <v>12</v>
      </c>
      <c r="B7" s="139">
        <v>3412299948.0800004</v>
      </c>
      <c r="C7" s="139">
        <v>1645295348.0900002</v>
      </c>
      <c r="D7" s="139">
        <v>1647270304.23</v>
      </c>
      <c r="E7" s="139">
        <v>26115648.400000002</v>
      </c>
      <c r="F7" s="139">
        <v>93618647.359999999</v>
      </c>
      <c r="G7" s="15"/>
    </row>
    <row r="8" spans="1:8" ht="13.5" customHeight="1" x14ac:dyDescent="0.2">
      <c r="A8" s="115" t="s">
        <v>13</v>
      </c>
      <c r="B8" s="139"/>
      <c r="C8" s="139"/>
      <c r="D8" s="139"/>
      <c r="E8" s="139"/>
      <c r="F8" s="139"/>
      <c r="G8" s="15"/>
    </row>
    <row r="9" spans="1:8" ht="13.5" customHeight="1" x14ac:dyDescent="0.2">
      <c r="A9" s="57" t="s">
        <v>15</v>
      </c>
      <c r="B9" s="116">
        <v>1344264059.6500001</v>
      </c>
      <c r="C9" s="116">
        <v>651863498.02999985</v>
      </c>
      <c r="D9" s="116">
        <v>645486469.52999997</v>
      </c>
      <c r="E9" s="116">
        <v>13304008.139999999</v>
      </c>
      <c r="F9" s="116">
        <v>33610083.949999996</v>
      </c>
      <c r="G9" s="15"/>
    </row>
    <row r="10" spans="1:8" ht="13.5" customHeight="1" x14ac:dyDescent="0.2">
      <c r="A10" s="57" t="s">
        <v>16</v>
      </c>
      <c r="B10" s="116">
        <v>468417724.32999998</v>
      </c>
      <c r="C10" s="116">
        <v>224031005.37999997</v>
      </c>
      <c r="D10" s="116">
        <v>228091217.79000002</v>
      </c>
      <c r="E10" s="116">
        <v>4592883.18</v>
      </c>
      <c r="F10" s="116">
        <v>11702617.980000002</v>
      </c>
      <c r="G10" s="15"/>
    </row>
    <row r="11" spans="1:8" ht="13.5" customHeight="1" x14ac:dyDescent="0.2">
      <c r="A11" s="57" t="s">
        <v>17</v>
      </c>
      <c r="B11" s="116">
        <v>407317591.57000005</v>
      </c>
      <c r="C11" s="116">
        <v>162878905.49000001</v>
      </c>
      <c r="D11" s="116">
        <v>243407578.59</v>
      </c>
      <c r="E11" s="116">
        <v>765511.80999999994</v>
      </c>
      <c r="F11" s="116">
        <v>265595.68</v>
      </c>
      <c r="G11" s="15"/>
    </row>
    <row r="12" spans="1:8" ht="13.5" customHeight="1" x14ac:dyDescent="0.2">
      <c r="A12" s="57" t="s">
        <v>18</v>
      </c>
      <c r="B12" s="116">
        <v>380414606.19000006</v>
      </c>
      <c r="C12" s="116">
        <v>198705160.38000003</v>
      </c>
      <c r="D12" s="116">
        <v>181005854.57000005</v>
      </c>
      <c r="E12" s="116">
        <v>192825.83000000002</v>
      </c>
      <c r="F12" s="116">
        <v>510765.41</v>
      </c>
      <c r="G12" s="15"/>
    </row>
    <row r="13" spans="1:8" ht="13.5" customHeight="1" x14ac:dyDescent="0.2">
      <c r="A13" s="57" t="s">
        <v>28</v>
      </c>
      <c r="B13" s="116">
        <v>30318292.560000002</v>
      </c>
      <c r="C13" s="116">
        <v>11875600.890000002</v>
      </c>
      <c r="D13" s="116">
        <v>18442224.069999997</v>
      </c>
      <c r="E13" s="116">
        <v>188.6</v>
      </c>
      <c r="F13" s="116">
        <v>279</v>
      </c>
      <c r="G13" s="15"/>
    </row>
    <row r="14" spans="1:8" ht="13.5" customHeight="1" x14ac:dyDescent="0.2">
      <c r="A14" s="57" t="s">
        <v>19</v>
      </c>
      <c r="B14" s="116">
        <v>119614309.31000002</v>
      </c>
      <c r="C14" s="116">
        <v>53021649.920000002</v>
      </c>
      <c r="D14" s="116">
        <v>58497220.690000005</v>
      </c>
      <c r="E14" s="116">
        <v>910137.20000000007</v>
      </c>
      <c r="F14" s="116">
        <v>7185301.5</v>
      </c>
      <c r="G14" s="15"/>
    </row>
    <row r="15" spans="1:8" ht="13.5" customHeight="1" x14ac:dyDescent="0.2">
      <c r="A15" s="57" t="s">
        <v>32</v>
      </c>
      <c r="B15" s="116">
        <v>27856772.939999998</v>
      </c>
      <c r="C15" s="116">
        <v>10174372.409999996</v>
      </c>
      <c r="D15" s="116">
        <v>11031997.160000002</v>
      </c>
      <c r="E15" s="116">
        <v>890277.89999999991</v>
      </c>
      <c r="F15" s="116">
        <v>5760125.4699999988</v>
      </c>
      <c r="G15" s="15"/>
    </row>
    <row r="16" spans="1:8" ht="13.5" customHeight="1" x14ac:dyDescent="0.2">
      <c r="A16" s="57" t="s">
        <v>20</v>
      </c>
      <c r="B16" s="116">
        <v>55207040.099999979</v>
      </c>
      <c r="C16" s="116">
        <v>26090685.859999988</v>
      </c>
      <c r="D16" s="116">
        <v>23060574.359999999</v>
      </c>
      <c r="E16" s="116">
        <v>613661.82999999996</v>
      </c>
      <c r="F16" s="116">
        <v>5442118.0499999998</v>
      </c>
      <c r="G16" s="15"/>
    </row>
    <row r="17" spans="1:7" ht="13.5" customHeight="1" x14ac:dyDescent="0.2">
      <c r="A17" s="57" t="s">
        <v>31</v>
      </c>
      <c r="B17" s="116">
        <v>42014019.160000004</v>
      </c>
      <c r="C17" s="116">
        <v>21454122.469999999</v>
      </c>
      <c r="D17" s="116">
        <v>17400484.600000001</v>
      </c>
      <c r="E17" s="116">
        <v>319099.75</v>
      </c>
      <c r="F17" s="116">
        <v>2840312.3400000003</v>
      </c>
      <c r="G17" s="15"/>
    </row>
    <row r="18" spans="1:7" ht="13.5" customHeight="1" x14ac:dyDescent="0.2">
      <c r="A18" s="57" t="s">
        <v>37</v>
      </c>
      <c r="B18" s="116">
        <v>178216013.34000003</v>
      </c>
      <c r="C18" s="116">
        <v>121920738.18000004</v>
      </c>
      <c r="D18" s="116">
        <v>42243678.509999998</v>
      </c>
      <c r="E18" s="116">
        <v>1194790.54</v>
      </c>
      <c r="F18" s="116">
        <v>12856806.110000001</v>
      </c>
      <c r="G18" s="15"/>
    </row>
    <row r="19" spans="1:7" ht="13.5" customHeight="1" x14ac:dyDescent="0.2">
      <c r="A19" s="113" t="s">
        <v>14</v>
      </c>
      <c r="B19" s="139">
        <v>3380447811.9499998</v>
      </c>
      <c r="C19" s="139">
        <v>1700784267.78</v>
      </c>
      <c r="D19" s="139">
        <v>1555557744.71</v>
      </c>
      <c r="E19" s="139">
        <v>25518849.789999999</v>
      </c>
      <c r="F19" s="139">
        <v>98586949.670000002</v>
      </c>
      <c r="G19" s="15"/>
    </row>
    <row r="20" spans="1:7" ht="13.5" customHeight="1" x14ac:dyDescent="0.2">
      <c r="A20" s="57" t="s">
        <v>34</v>
      </c>
      <c r="B20" s="116">
        <v>2573604138.4300003</v>
      </c>
      <c r="C20" s="116">
        <v>1388713394.6700006</v>
      </c>
      <c r="D20" s="116">
        <v>1127264165.3800001</v>
      </c>
      <c r="E20" s="116">
        <v>20810878.469999999</v>
      </c>
      <c r="F20" s="116">
        <v>36815699.909999996</v>
      </c>
      <c r="G20" s="15"/>
    </row>
    <row r="21" spans="1:7" ht="13.5" customHeight="1" x14ac:dyDescent="0.2">
      <c r="A21" s="57" t="s">
        <v>38</v>
      </c>
      <c r="B21" s="116"/>
      <c r="C21" s="116"/>
      <c r="D21" s="116"/>
      <c r="E21" s="116"/>
      <c r="F21" s="116"/>
      <c r="G21" s="15"/>
    </row>
    <row r="22" spans="1:7" ht="13.5" customHeight="1" x14ac:dyDescent="0.2">
      <c r="A22" s="117" t="s">
        <v>59</v>
      </c>
      <c r="B22" s="116">
        <v>789258934.44999993</v>
      </c>
      <c r="C22" s="116">
        <v>405359517.19</v>
      </c>
      <c r="D22" s="116">
        <v>383899417.25999993</v>
      </c>
      <c r="E22" s="116" t="s">
        <v>56</v>
      </c>
      <c r="F22" s="116" t="s">
        <v>56</v>
      </c>
      <c r="G22" s="15"/>
    </row>
    <row r="23" spans="1:7" ht="13.5" customHeight="1" x14ac:dyDescent="0.2">
      <c r="A23" s="117" t="s">
        <v>39</v>
      </c>
      <c r="B23" s="116">
        <v>658011245.58999991</v>
      </c>
      <c r="C23" s="116">
        <v>358031807.19</v>
      </c>
      <c r="D23" s="116">
        <v>297412491.43000001</v>
      </c>
      <c r="E23" s="116">
        <v>1390197.17</v>
      </c>
      <c r="F23" s="116">
        <v>1176749.8</v>
      </c>
      <c r="G23" s="15"/>
    </row>
    <row r="24" spans="1:7" ht="13.5" customHeight="1" x14ac:dyDescent="0.2">
      <c r="A24" s="117" t="s">
        <v>40</v>
      </c>
      <c r="B24" s="116">
        <v>111029732.25</v>
      </c>
      <c r="C24" s="116">
        <v>61251620.589999996</v>
      </c>
      <c r="D24" s="116">
        <v>1151088.0999999999</v>
      </c>
      <c r="E24" s="116">
        <v>16459196.109999999</v>
      </c>
      <c r="F24" s="116">
        <v>32167827.450000003</v>
      </c>
      <c r="G24" s="15"/>
    </row>
    <row r="25" spans="1:7" ht="13.5" customHeight="1" x14ac:dyDescent="0.2">
      <c r="A25" s="117" t="s">
        <v>41</v>
      </c>
      <c r="B25" s="116">
        <v>258675611.43999997</v>
      </c>
      <c r="C25" s="116">
        <v>109186370.45999998</v>
      </c>
      <c r="D25" s="116">
        <v>149472444.26999998</v>
      </c>
      <c r="E25" s="116">
        <v>16796.71</v>
      </c>
      <c r="F25" s="116" t="s">
        <v>56</v>
      </c>
      <c r="G25" s="15"/>
    </row>
    <row r="26" spans="1:7" ht="13.5" customHeight="1" x14ac:dyDescent="0.2">
      <c r="A26" s="117" t="s">
        <v>150</v>
      </c>
      <c r="B26" s="116">
        <v>89122173.24000001</v>
      </c>
      <c r="C26" s="116">
        <v>48637082.5</v>
      </c>
      <c r="D26" s="116">
        <v>40442608.839999996</v>
      </c>
      <c r="E26" s="116">
        <v>41040.9</v>
      </c>
      <c r="F26" s="116">
        <v>1441</v>
      </c>
      <c r="G26" s="15"/>
    </row>
    <row r="27" spans="1:7" ht="13.5" customHeight="1" x14ac:dyDescent="0.2">
      <c r="A27" s="117" t="s">
        <v>42</v>
      </c>
      <c r="B27" s="116">
        <v>458061086.02000004</v>
      </c>
      <c r="C27" s="116">
        <v>287286612.44999999</v>
      </c>
      <c r="D27" s="116">
        <v>165838093.15000001</v>
      </c>
      <c r="E27" s="116">
        <v>1483468.48</v>
      </c>
      <c r="F27" s="116">
        <v>3452911.9400000004</v>
      </c>
      <c r="G27" s="15"/>
    </row>
    <row r="28" spans="1:7" ht="13.5" customHeight="1" x14ac:dyDescent="0.2">
      <c r="A28" s="57" t="s">
        <v>21</v>
      </c>
      <c r="B28" s="116">
        <v>126561704.36000001</v>
      </c>
      <c r="C28" s="116">
        <v>54625464.400000028</v>
      </c>
      <c r="D28" s="116">
        <v>31638393.999999996</v>
      </c>
      <c r="E28" s="116">
        <v>304910.27</v>
      </c>
      <c r="F28" s="116">
        <v>39992935.689999998</v>
      </c>
      <c r="G28" s="15"/>
    </row>
    <row r="29" spans="1:7" ht="13.5" customHeight="1" x14ac:dyDescent="0.2">
      <c r="A29" s="117" t="s">
        <v>43</v>
      </c>
      <c r="B29" s="116">
        <v>29208035.989999998</v>
      </c>
      <c r="C29" s="116">
        <v>15332309.029999999</v>
      </c>
      <c r="D29" s="116">
        <v>13853585.229999999</v>
      </c>
      <c r="E29" s="116" t="s">
        <v>56</v>
      </c>
      <c r="F29" s="116">
        <v>22141.73</v>
      </c>
      <c r="G29" s="15"/>
    </row>
    <row r="30" spans="1:7" ht="13.5" customHeight="1" x14ac:dyDescent="0.2">
      <c r="A30" s="117" t="s">
        <v>44</v>
      </c>
      <c r="B30" s="116">
        <v>4078322.1099999994</v>
      </c>
      <c r="C30" s="116">
        <v>2857251.32</v>
      </c>
      <c r="D30" s="116">
        <v>1197439.99</v>
      </c>
      <c r="E30" s="116" t="s">
        <v>56</v>
      </c>
      <c r="F30" s="116">
        <v>23630.799999999999</v>
      </c>
      <c r="G30" s="15"/>
    </row>
    <row r="31" spans="1:7" ht="13.5" customHeight="1" x14ac:dyDescent="0.2">
      <c r="A31" s="117" t="s">
        <v>45</v>
      </c>
      <c r="B31" s="116">
        <v>4878328.2</v>
      </c>
      <c r="C31" s="116">
        <v>3118013.02</v>
      </c>
      <c r="D31" s="116">
        <v>1760315.18</v>
      </c>
      <c r="E31" s="116" t="s">
        <v>56</v>
      </c>
      <c r="F31" s="116" t="s">
        <v>56</v>
      </c>
      <c r="G31" s="15"/>
    </row>
    <row r="32" spans="1:7" ht="13.5" customHeight="1" x14ac:dyDescent="0.2">
      <c r="A32" s="117" t="s">
        <v>46</v>
      </c>
      <c r="B32" s="116">
        <v>88397018.060000002</v>
      </c>
      <c r="C32" s="116">
        <v>33317891.030000001</v>
      </c>
      <c r="D32" s="116">
        <v>14827053.599999998</v>
      </c>
      <c r="E32" s="116">
        <v>304910.27</v>
      </c>
      <c r="F32" s="116">
        <v>39947163.159999996</v>
      </c>
      <c r="G32" s="15"/>
    </row>
    <row r="33" spans="1:7" ht="13.5" customHeight="1" x14ac:dyDescent="0.2">
      <c r="A33" s="57" t="s">
        <v>35</v>
      </c>
      <c r="B33" s="116">
        <v>283503020.50999999</v>
      </c>
      <c r="C33" s="116">
        <v>8304945.4500000002</v>
      </c>
      <c r="D33" s="116">
        <v>274074676.10000002</v>
      </c>
      <c r="E33" s="116">
        <v>282357.65000000002</v>
      </c>
      <c r="F33" s="116">
        <v>841041.30999999994</v>
      </c>
      <c r="G33" s="15"/>
    </row>
    <row r="34" spans="1:7" ht="13.5" customHeight="1" x14ac:dyDescent="0.2">
      <c r="A34" s="57" t="s">
        <v>33</v>
      </c>
      <c r="B34" s="116">
        <v>396778948.64999998</v>
      </c>
      <c r="C34" s="116">
        <v>249140463.25999999</v>
      </c>
      <c r="D34" s="116">
        <v>122580509.22999999</v>
      </c>
      <c r="E34" s="116">
        <v>4120703.4</v>
      </c>
      <c r="F34" s="116">
        <v>20937272.760000002</v>
      </c>
      <c r="G34" s="15"/>
    </row>
    <row r="35" spans="1:7" ht="13.5" customHeight="1" x14ac:dyDescent="0.2">
      <c r="A35" s="119" t="s">
        <v>27</v>
      </c>
      <c r="B35" s="140">
        <v>-31852136.129999995</v>
      </c>
      <c r="C35" s="140">
        <v>55488919.690000013</v>
      </c>
      <c r="D35" s="140">
        <v>-91712559.520000011</v>
      </c>
      <c r="E35" s="140">
        <v>-596798.61</v>
      </c>
      <c r="F35" s="140">
        <v>4968302.3100000005</v>
      </c>
      <c r="G35" s="15"/>
    </row>
    <row r="37" spans="1:7" ht="13.5" customHeight="1" x14ac:dyDescent="0.2">
      <c r="A37" s="17" t="s">
        <v>58</v>
      </c>
    </row>
    <row r="38" spans="1:7" ht="13.5" customHeight="1" x14ac:dyDescent="0.2">
      <c r="A38" s="14" t="s">
        <v>60</v>
      </c>
    </row>
  </sheetData>
  <mergeCells count="3">
    <mergeCell ref="A4:A5"/>
    <mergeCell ref="B4:B5"/>
    <mergeCell ref="C4:F4"/>
  </mergeCells>
  <hyperlinks>
    <hyperlink ref="F1" location="Obsah!A1" display="Naspäť na obsah"/>
  </hyperlinks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/>
  <dimension ref="A1:M37"/>
  <sheetViews>
    <sheetView showGridLines="0" zoomScaleNormal="100" workbookViewId="0">
      <selection activeCell="A3" sqref="A3"/>
    </sheetView>
  </sheetViews>
  <sheetFormatPr defaultColWidth="9" defaultRowHeight="13.5" customHeight="1" x14ac:dyDescent="0.2"/>
  <cols>
    <col min="1" max="1" width="39.125" style="9" customWidth="1"/>
    <col min="2" max="3" width="17.75" style="9" customWidth="1"/>
    <col min="4" max="9" width="12" style="9" customWidth="1"/>
    <col min="10" max="11" width="13.375" style="9" customWidth="1"/>
    <col min="12" max="12" width="20.875" style="9" customWidth="1"/>
    <col min="13" max="13" width="15.875" style="10" customWidth="1"/>
    <col min="14" max="14" width="16.5" style="9" customWidth="1"/>
    <col min="15" max="30" width="13.5" style="9" customWidth="1"/>
    <col min="31" max="34" width="8" style="9"/>
    <col min="35" max="16384" width="9" style="9"/>
  </cols>
  <sheetData>
    <row r="1" spans="1:11" ht="13.5" customHeight="1" x14ac:dyDescent="0.2">
      <c r="A1" s="16" t="s">
        <v>139</v>
      </c>
      <c r="D1" s="131" t="s">
        <v>137</v>
      </c>
    </row>
    <row r="2" spans="1:11" ht="13.5" customHeight="1" x14ac:dyDescent="0.2">
      <c r="A2" s="6" t="s">
        <v>142</v>
      </c>
    </row>
    <row r="3" spans="1:11" ht="13.5" customHeight="1" x14ac:dyDescent="0.2">
      <c r="A3" s="8"/>
      <c r="E3" s="121"/>
      <c r="F3" s="121"/>
      <c r="G3" s="121"/>
      <c r="H3" s="121"/>
      <c r="I3" s="121"/>
    </row>
    <row r="4" spans="1:11" s="14" customFormat="1" ht="16.5" customHeight="1" x14ac:dyDescent="0.2">
      <c r="A4" s="161" t="s">
        <v>29</v>
      </c>
      <c r="B4" s="166" t="s">
        <v>55</v>
      </c>
      <c r="C4" s="167"/>
      <c r="D4" s="11"/>
      <c r="E4" s="129"/>
      <c r="F4" s="130"/>
      <c r="G4" s="130"/>
      <c r="H4" s="12"/>
      <c r="I4" s="11"/>
      <c r="J4" s="4"/>
      <c r="K4" s="13"/>
    </row>
    <row r="5" spans="1:11" ht="36" customHeight="1" x14ac:dyDescent="0.2">
      <c r="A5" s="162"/>
      <c r="B5" s="82" t="s">
        <v>53</v>
      </c>
      <c r="C5" s="82" t="s">
        <v>54</v>
      </c>
      <c r="E5" s="129"/>
      <c r="F5" s="18"/>
      <c r="G5" s="18"/>
      <c r="H5" s="121"/>
      <c r="I5" s="121"/>
    </row>
    <row r="6" spans="1:11" ht="13.5" customHeight="1" x14ac:dyDescent="0.2">
      <c r="A6" s="111" t="s">
        <v>11</v>
      </c>
      <c r="B6" s="112">
        <v>8316</v>
      </c>
      <c r="C6" s="112">
        <v>1812</v>
      </c>
      <c r="E6" s="122"/>
      <c r="F6" s="123"/>
      <c r="G6" s="123"/>
      <c r="H6" s="11"/>
      <c r="I6" s="11"/>
    </row>
    <row r="7" spans="1:11" ht="13.5" customHeight="1" x14ac:dyDescent="0.2">
      <c r="A7" s="113" t="s">
        <v>12</v>
      </c>
      <c r="B7" s="114">
        <v>1597486970.9600053</v>
      </c>
      <c r="C7" s="114">
        <v>1836907402.190001</v>
      </c>
      <c r="E7" s="124"/>
      <c r="F7" s="125"/>
      <c r="G7" s="125"/>
      <c r="H7" s="11"/>
      <c r="I7" s="11"/>
    </row>
    <row r="8" spans="1:11" ht="13.5" customHeight="1" x14ac:dyDescent="0.2">
      <c r="A8" s="115" t="s">
        <v>49</v>
      </c>
      <c r="B8" s="114"/>
      <c r="C8" s="114"/>
      <c r="E8" s="102"/>
      <c r="F8" s="125"/>
      <c r="G8" s="125"/>
      <c r="H8" s="11"/>
      <c r="I8" s="11"/>
    </row>
    <row r="9" spans="1:11" ht="13.5" customHeight="1" x14ac:dyDescent="0.2">
      <c r="A9" s="57" t="s">
        <v>15</v>
      </c>
      <c r="B9" s="56">
        <v>521734300.93000066</v>
      </c>
      <c r="C9" s="56">
        <v>126713076.59000009</v>
      </c>
      <c r="E9" s="126"/>
      <c r="F9" s="30"/>
      <c r="G9" s="30"/>
      <c r="H9" s="11"/>
      <c r="I9" s="11"/>
    </row>
    <row r="10" spans="1:11" ht="13.5" customHeight="1" x14ac:dyDescent="0.2">
      <c r="A10" s="57" t="s">
        <v>16</v>
      </c>
      <c r="B10" s="56">
        <v>189351102.74999964</v>
      </c>
      <c r="C10" s="56">
        <v>46160049.299999975</v>
      </c>
      <c r="E10" s="126"/>
      <c r="F10" s="30"/>
      <c r="G10" s="30"/>
      <c r="H10" s="11"/>
      <c r="I10" s="11"/>
    </row>
    <row r="11" spans="1:11" ht="13.5" customHeight="1" x14ac:dyDescent="0.2">
      <c r="A11" s="57" t="s">
        <v>17</v>
      </c>
      <c r="B11" s="56">
        <v>56295378.599999979</v>
      </c>
      <c r="C11" s="56">
        <v>1068585728.3800004</v>
      </c>
      <c r="E11" s="126"/>
      <c r="F11" s="30"/>
      <c r="G11" s="30"/>
      <c r="H11" s="11"/>
      <c r="I11" s="11"/>
    </row>
    <row r="12" spans="1:11" ht="13.5" customHeight="1" x14ac:dyDescent="0.2">
      <c r="A12" s="57" t="s">
        <v>18</v>
      </c>
      <c r="B12" s="56">
        <v>120007799.93000017</v>
      </c>
      <c r="C12" s="56">
        <v>153830665.28000039</v>
      </c>
      <c r="D12" s="14"/>
      <c r="E12" s="126"/>
      <c r="F12" s="30"/>
      <c r="G12" s="30"/>
      <c r="H12" s="11"/>
      <c r="I12" s="11"/>
    </row>
    <row r="13" spans="1:11" ht="13.5" customHeight="1" x14ac:dyDescent="0.2">
      <c r="A13" s="57" t="s">
        <v>50</v>
      </c>
      <c r="B13" s="56">
        <v>500720.13</v>
      </c>
      <c r="C13" s="56">
        <v>241029847.15000007</v>
      </c>
      <c r="E13" s="126"/>
      <c r="F13" s="30"/>
      <c r="G13" s="30"/>
      <c r="H13" s="11"/>
      <c r="I13" s="11"/>
    </row>
    <row r="14" spans="1:11" ht="13.5" customHeight="1" x14ac:dyDescent="0.2">
      <c r="A14" s="57" t="s">
        <v>28</v>
      </c>
      <c r="B14" s="56">
        <v>1144242.7799999998</v>
      </c>
      <c r="C14" s="56">
        <v>64929.05</v>
      </c>
      <c r="E14" s="126"/>
      <c r="F14" s="30"/>
      <c r="G14" s="30"/>
      <c r="H14" s="11"/>
      <c r="I14" s="11"/>
    </row>
    <row r="15" spans="1:11" ht="13.5" customHeight="1" x14ac:dyDescent="0.2">
      <c r="A15" s="57" t="s">
        <v>19</v>
      </c>
      <c r="B15" s="116">
        <v>106975979.49000002</v>
      </c>
      <c r="C15" s="116">
        <v>18133761.550000012</v>
      </c>
      <c r="E15" s="126"/>
      <c r="F15" s="127"/>
      <c r="G15" s="127"/>
      <c r="H15" s="11"/>
      <c r="I15" s="11"/>
    </row>
    <row r="16" spans="1:11" ht="13.5" customHeight="1" x14ac:dyDescent="0.2">
      <c r="A16" s="57" t="s">
        <v>20</v>
      </c>
      <c r="B16" s="116">
        <v>23076289.220000044</v>
      </c>
      <c r="C16" s="116">
        <v>6446547.7899999954</v>
      </c>
      <c r="E16" s="126"/>
      <c r="F16" s="127"/>
      <c r="G16" s="127"/>
      <c r="H16" s="11"/>
      <c r="I16" s="11"/>
    </row>
    <row r="17" spans="1:13" ht="13.5" customHeight="1" x14ac:dyDescent="0.2">
      <c r="A17" s="57" t="s">
        <v>31</v>
      </c>
      <c r="B17" s="56">
        <v>35221920.550000012</v>
      </c>
      <c r="C17" s="56">
        <v>5852013.2299999949</v>
      </c>
      <c r="E17" s="126"/>
      <c r="F17" s="30"/>
      <c r="G17" s="30"/>
      <c r="H17" s="11"/>
      <c r="I17" s="11"/>
    </row>
    <row r="18" spans="1:13" ht="13.5" customHeight="1" x14ac:dyDescent="0.2">
      <c r="A18" s="57" t="s">
        <v>37</v>
      </c>
      <c r="B18" s="56">
        <v>122415262.52</v>
      </c>
      <c r="C18" s="56">
        <v>21314533.909999982</v>
      </c>
      <c r="E18" s="126"/>
      <c r="F18" s="30"/>
      <c r="G18" s="30"/>
      <c r="H18" s="11"/>
      <c r="I18" s="11"/>
    </row>
    <row r="19" spans="1:13" ht="13.5" customHeight="1" x14ac:dyDescent="0.2">
      <c r="A19" s="113" t="s">
        <v>14</v>
      </c>
      <c r="B19" s="114">
        <v>1989759766.1599982</v>
      </c>
      <c r="C19" s="114">
        <v>1880767524.2399995</v>
      </c>
      <c r="E19" s="124"/>
      <c r="F19" s="125"/>
      <c r="G19" s="125"/>
      <c r="H19" s="11"/>
      <c r="I19" s="11"/>
      <c r="M19" s="13"/>
    </row>
    <row r="20" spans="1:13" ht="13.5" customHeight="1" x14ac:dyDescent="0.2">
      <c r="A20" s="57" t="s">
        <v>34</v>
      </c>
      <c r="B20" s="56">
        <v>1449803606.0700035</v>
      </c>
      <c r="C20" s="56">
        <v>904567006.3900007</v>
      </c>
      <c r="E20" s="126"/>
      <c r="F20" s="30"/>
      <c r="G20" s="30"/>
      <c r="H20" s="11"/>
      <c r="I20" s="11"/>
      <c r="M20" s="13"/>
    </row>
    <row r="21" spans="1:13" ht="13.5" customHeight="1" x14ac:dyDescent="0.2">
      <c r="A21" s="57" t="s">
        <v>38</v>
      </c>
      <c r="B21" s="56"/>
      <c r="C21" s="56"/>
      <c r="E21" s="126"/>
      <c r="F21" s="30"/>
      <c r="G21" s="30"/>
      <c r="H21" s="11"/>
      <c r="I21" s="11"/>
      <c r="M21" s="13"/>
    </row>
    <row r="22" spans="1:13" ht="13.5" customHeight="1" x14ac:dyDescent="0.2">
      <c r="A22" s="117" t="s">
        <v>41</v>
      </c>
      <c r="B22" s="56">
        <v>8835562.5500000026</v>
      </c>
      <c r="C22" s="56">
        <v>36855.69</v>
      </c>
      <c r="E22" s="128"/>
      <c r="F22" s="30"/>
      <c r="G22" s="30"/>
      <c r="H22" s="11"/>
      <c r="I22" s="11"/>
      <c r="M22" s="13"/>
    </row>
    <row r="23" spans="1:13" ht="13.5" customHeight="1" x14ac:dyDescent="0.2">
      <c r="A23" s="117" t="s">
        <v>51</v>
      </c>
      <c r="B23" s="56">
        <v>11172895.560000001</v>
      </c>
      <c r="C23" s="116" t="s">
        <v>56</v>
      </c>
      <c r="E23" s="128"/>
      <c r="F23" s="30"/>
      <c r="G23" s="127"/>
      <c r="H23" s="11"/>
      <c r="I23" s="11"/>
      <c r="M23" s="13"/>
    </row>
    <row r="24" spans="1:13" ht="13.5" customHeight="1" x14ac:dyDescent="0.2">
      <c r="A24" s="117" t="s">
        <v>150</v>
      </c>
      <c r="B24" s="56">
        <v>67544022.489999995</v>
      </c>
      <c r="C24" s="116">
        <v>115651.18</v>
      </c>
      <c r="E24" s="128"/>
      <c r="F24" s="30"/>
      <c r="G24" s="30"/>
      <c r="H24" s="11"/>
      <c r="I24" s="11"/>
      <c r="M24" s="13"/>
    </row>
    <row r="25" spans="1:13" ht="13.5" customHeight="1" x14ac:dyDescent="0.2">
      <c r="A25" s="117" t="s">
        <v>42</v>
      </c>
      <c r="B25" s="56">
        <v>885782196.17000008</v>
      </c>
      <c r="C25" s="56">
        <v>3154197.6800000006</v>
      </c>
      <c r="E25" s="128"/>
      <c r="F25" s="30"/>
      <c r="G25" s="30"/>
      <c r="H25" s="11"/>
      <c r="I25" s="11"/>
    </row>
    <row r="26" spans="1:13" ht="13.5" customHeight="1" x14ac:dyDescent="0.2">
      <c r="A26" s="117" t="s">
        <v>52</v>
      </c>
      <c r="B26" s="56">
        <v>411458701.8299998</v>
      </c>
      <c r="C26" s="56">
        <v>838603.53</v>
      </c>
      <c r="E26" s="128"/>
      <c r="F26" s="30"/>
      <c r="G26" s="30"/>
      <c r="H26" s="11"/>
      <c r="I26" s="11"/>
      <c r="M26" s="13"/>
    </row>
    <row r="27" spans="1:13" ht="13.5" customHeight="1" x14ac:dyDescent="0.2">
      <c r="A27" s="57" t="s">
        <v>21</v>
      </c>
      <c r="B27" s="56">
        <v>311333125.30999982</v>
      </c>
      <c r="C27" s="56">
        <v>841433263.99999928</v>
      </c>
      <c r="E27" s="126"/>
      <c r="F27" s="30"/>
      <c r="G27" s="30"/>
      <c r="H27" s="11"/>
      <c r="I27" s="11"/>
      <c r="M27" s="13"/>
    </row>
    <row r="28" spans="1:13" ht="13.5" customHeight="1" x14ac:dyDescent="0.2">
      <c r="A28" s="117" t="s">
        <v>43</v>
      </c>
      <c r="B28" s="56">
        <v>6104281.3899999987</v>
      </c>
      <c r="C28" s="56">
        <v>468053583.82999921</v>
      </c>
      <c r="E28" s="128"/>
      <c r="F28" s="30"/>
      <c r="G28" s="30"/>
      <c r="H28" s="11"/>
      <c r="I28" s="11"/>
      <c r="M28" s="13"/>
    </row>
    <row r="29" spans="1:13" ht="13.5" customHeight="1" x14ac:dyDescent="0.2">
      <c r="A29" s="117" t="s">
        <v>44</v>
      </c>
      <c r="B29" s="56">
        <v>3292994.5999999996</v>
      </c>
      <c r="C29" s="56">
        <v>66189236.76000002</v>
      </c>
      <c r="E29" s="128"/>
      <c r="F29" s="30"/>
      <c r="G29" s="30"/>
      <c r="H29" s="11"/>
      <c r="I29" s="11"/>
      <c r="M29" s="13"/>
    </row>
    <row r="30" spans="1:13" ht="13.5" customHeight="1" x14ac:dyDescent="0.2">
      <c r="A30" s="117" t="s">
        <v>45</v>
      </c>
      <c r="B30" s="56">
        <v>861676.91</v>
      </c>
      <c r="C30" s="56">
        <v>273942754.27999985</v>
      </c>
      <c r="E30" s="128"/>
      <c r="F30" s="30"/>
      <c r="G30" s="30"/>
      <c r="H30" s="11"/>
      <c r="I30" s="11"/>
    </row>
    <row r="31" spans="1:13" ht="13.5" customHeight="1" x14ac:dyDescent="0.2">
      <c r="A31" s="117" t="s">
        <v>46</v>
      </c>
      <c r="B31" s="56">
        <v>301074172.40999991</v>
      </c>
      <c r="C31" s="56">
        <v>33247689.130000014</v>
      </c>
      <c r="E31" s="128"/>
      <c r="F31" s="30"/>
      <c r="G31" s="30"/>
      <c r="H31" s="11"/>
      <c r="I31" s="11"/>
    </row>
    <row r="32" spans="1:13" ht="13.5" customHeight="1" x14ac:dyDescent="0.2">
      <c r="A32" s="57" t="s">
        <v>35</v>
      </c>
      <c r="B32" s="56">
        <v>11912879.56000001</v>
      </c>
      <c r="C32" s="56">
        <v>59440.740000000005</v>
      </c>
      <c r="E32" s="126"/>
      <c r="F32" s="30"/>
      <c r="G32" s="30"/>
      <c r="H32" s="11"/>
      <c r="I32" s="11"/>
    </row>
    <row r="33" spans="1:9" ht="13.5" customHeight="1" x14ac:dyDescent="0.2">
      <c r="A33" s="57" t="s">
        <v>33</v>
      </c>
      <c r="B33" s="56">
        <v>216710155.22000065</v>
      </c>
      <c r="C33" s="56">
        <v>134707813.10999998</v>
      </c>
      <c r="E33" s="126"/>
      <c r="F33" s="30"/>
      <c r="G33" s="30"/>
      <c r="H33" s="11"/>
      <c r="I33" s="11"/>
    </row>
    <row r="34" spans="1:9" ht="13.5" customHeight="1" x14ac:dyDescent="0.2">
      <c r="A34" s="119" t="s">
        <v>27</v>
      </c>
      <c r="B34" s="120">
        <v>392272795.20000035</v>
      </c>
      <c r="C34" s="120">
        <v>43860122.04999999</v>
      </c>
      <c r="E34" s="124"/>
      <c r="F34" s="125"/>
      <c r="G34" s="125"/>
      <c r="H34" s="11"/>
      <c r="I34" s="11"/>
    </row>
    <row r="35" spans="1:9" ht="13.5" customHeight="1" x14ac:dyDescent="0.2">
      <c r="E35" s="121"/>
      <c r="F35" s="121"/>
      <c r="G35" s="121"/>
      <c r="H35" s="121"/>
      <c r="I35" s="121"/>
    </row>
    <row r="36" spans="1:9" ht="13.5" customHeight="1" x14ac:dyDescent="0.2">
      <c r="E36" s="121"/>
      <c r="F36" s="121"/>
      <c r="G36" s="121"/>
      <c r="H36" s="121"/>
      <c r="I36" s="121"/>
    </row>
    <row r="37" spans="1:9" ht="13.5" customHeight="1" x14ac:dyDescent="0.2">
      <c r="E37" s="121"/>
      <c r="F37" s="121"/>
      <c r="G37" s="121"/>
      <c r="H37" s="121"/>
      <c r="I37" s="121"/>
    </row>
  </sheetData>
  <mergeCells count="2">
    <mergeCell ref="A4:A5"/>
    <mergeCell ref="B4:C4"/>
  </mergeCells>
  <hyperlinks>
    <hyperlink ref="D1" location="Obsah!A1" display="Naspäť na obsah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showGridLines="0" zoomScaleNormal="100" workbookViewId="0">
      <selection activeCell="A3" sqref="A3"/>
    </sheetView>
  </sheetViews>
  <sheetFormatPr defaultColWidth="9" defaultRowHeight="13.5" customHeight="1" x14ac:dyDescent="0.2"/>
  <cols>
    <col min="1" max="1" width="27.5" style="2" bestFit="1" customWidth="1"/>
    <col min="2" max="2" width="13.5" style="3" customWidth="1"/>
    <col min="3" max="4" width="13.5" style="2" customWidth="1"/>
    <col min="5" max="10" width="12.625" style="2" customWidth="1"/>
    <col min="11" max="11" width="12.625" style="3" customWidth="1"/>
    <col min="12" max="12" width="21.375" style="2" bestFit="1" customWidth="1"/>
    <col min="13" max="13" width="12.75" style="2" customWidth="1"/>
    <col min="14" max="14" width="13.25" style="2" customWidth="1"/>
    <col min="15" max="15" width="13.375" style="2" customWidth="1"/>
    <col min="16" max="17" width="11" style="2" customWidth="1"/>
    <col min="18" max="16384" width="9" style="2"/>
  </cols>
  <sheetData>
    <row r="1" spans="1:23" ht="13.5" customHeight="1" x14ac:dyDescent="0.2">
      <c r="A1" s="16" t="s">
        <v>139</v>
      </c>
      <c r="F1" s="131" t="s">
        <v>137</v>
      </c>
      <c r="G1" s="31"/>
      <c r="H1" s="24"/>
      <c r="I1" s="24"/>
      <c r="J1" s="24"/>
      <c r="K1" s="28"/>
    </row>
    <row r="2" spans="1:23" ht="13.5" customHeight="1" x14ac:dyDescent="0.2">
      <c r="A2" s="31" t="s">
        <v>143</v>
      </c>
      <c r="G2" s="24"/>
      <c r="H2" s="24"/>
      <c r="I2" s="24"/>
      <c r="J2" s="24"/>
      <c r="K2" s="25"/>
    </row>
    <row r="3" spans="1:23" ht="13.5" customHeight="1" x14ac:dyDescent="0.2">
      <c r="G3" s="23"/>
      <c r="H3" s="24"/>
      <c r="I3" s="24"/>
      <c r="J3" s="24"/>
      <c r="K3" s="25"/>
    </row>
    <row r="4" spans="1:23" ht="13.5" customHeight="1" x14ac:dyDescent="0.2">
      <c r="A4" s="168" t="s">
        <v>29</v>
      </c>
      <c r="B4" s="170" t="s">
        <v>83</v>
      </c>
      <c r="C4" s="168"/>
      <c r="D4" s="168"/>
      <c r="G4" s="23"/>
      <c r="H4" s="24"/>
      <c r="I4" s="24"/>
      <c r="J4" s="24"/>
      <c r="K4" s="25"/>
    </row>
    <row r="5" spans="1:23" ht="39.75" customHeight="1" x14ac:dyDescent="0.2">
      <c r="A5" s="169"/>
      <c r="B5" s="33" t="s">
        <v>76</v>
      </c>
      <c r="C5" s="33" t="s">
        <v>79</v>
      </c>
      <c r="D5" s="32" t="s">
        <v>78</v>
      </c>
      <c r="G5" s="23"/>
      <c r="H5" s="24"/>
      <c r="I5" s="24"/>
      <c r="J5" s="24"/>
      <c r="K5" s="25"/>
      <c r="T5" s="24"/>
      <c r="U5" s="24"/>
      <c r="V5" s="24"/>
      <c r="W5" s="24"/>
    </row>
    <row r="6" spans="1:23" ht="13.5" customHeight="1" x14ac:dyDescent="0.2">
      <c r="A6" s="58" t="s">
        <v>12</v>
      </c>
      <c r="B6" s="60">
        <v>1836907402.190001</v>
      </c>
      <c r="C6" s="60">
        <v>3412299948.0799999</v>
      </c>
      <c r="D6" s="59">
        <v>1597486970.9600053</v>
      </c>
      <c r="G6" s="23"/>
      <c r="H6" s="24"/>
      <c r="I6" s="24"/>
      <c r="J6" s="24"/>
      <c r="K6" s="25"/>
      <c r="T6" s="24"/>
      <c r="U6" s="24"/>
      <c r="V6" s="24"/>
      <c r="W6" s="24"/>
    </row>
    <row r="7" spans="1:23" ht="13.5" customHeight="1" x14ac:dyDescent="0.2">
      <c r="A7" s="61" t="s">
        <v>61</v>
      </c>
      <c r="B7" s="62">
        <v>172873125.89000008</v>
      </c>
      <c r="C7" s="62">
        <v>1812681783.9799998</v>
      </c>
      <c r="D7" s="56">
        <v>711085403.68000031</v>
      </c>
      <c r="G7" s="23"/>
      <c r="H7" s="24"/>
      <c r="I7" s="24"/>
      <c r="J7" s="24"/>
      <c r="K7" s="25"/>
      <c r="T7" s="24"/>
      <c r="U7" s="24"/>
      <c r="V7" s="24"/>
      <c r="W7" s="24"/>
    </row>
    <row r="8" spans="1:23" ht="13.5" customHeight="1" x14ac:dyDescent="0.2">
      <c r="A8" s="63" t="s">
        <v>62</v>
      </c>
      <c r="B8" s="62">
        <v>1068585728.3800004</v>
      </c>
      <c r="C8" s="62">
        <v>407317591.57000005</v>
      </c>
      <c r="D8" s="56">
        <v>56295378.599999979</v>
      </c>
      <c r="G8" s="23"/>
      <c r="H8" s="24"/>
      <c r="I8" s="24"/>
      <c r="J8" s="24"/>
      <c r="K8" s="25"/>
      <c r="T8" s="24"/>
      <c r="U8" s="24"/>
      <c r="V8" s="24"/>
      <c r="W8" s="24"/>
    </row>
    <row r="9" spans="1:23" ht="13.5" customHeight="1" x14ac:dyDescent="0.2">
      <c r="A9" s="63" t="s">
        <v>18</v>
      </c>
      <c r="B9" s="62">
        <v>153830665.28000039</v>
      </c>
      <c r="C9" s="62">
        <v>380414606.19000006</v>
      </c>
      <c r="D9" s="56">
        <v>120007799.93000017</v>
      </c>
      <c r="G9" s="23"/>
      <c r="H9" s="24"/>
      <c r="I9" s="24"/>
      <c r="J9" s="24"/>
      <c r="K9" s="25"/>
      <c r="L9" s="3"/>
      <c r="M9" s="3"/>
      <c r="N9" s="3"/>
      <c r="O9" s="3"/>
      <c r="P9" s="3"/>
      <c r="Q9" s="3"/>
      <c r="R9" s="3"/>
      <c r="S9" s="3"/>
      <c r="T9" s="24"/>
      <c r="U9" s="24"/>
      <c r="V9" s="24"/>
      <c r="W9" s="24"/>
    </row>
    <row r="10" spans="1:23" ht="13.5" customHeight="1" x14ac:dyDescent="0.2">
      <c r="A10" s="57" t="s">
        <v>64</v>
      </c>
      <c r="B10" s="62">
        <v>241029847.15000007</v>
      </c>
      <c r="C10" s="62">
        <v>15147509.610000001</v>
      </c>
      <c r="D10" s="56">
        <v>500720.13</v>
      </c>
      <c r="G10" s="23"/>
      <c r="H10" s="24"/>
      <c r="I10" s="24"/>
      <c r="J10" s="24"/>
      <c r="K10" s="25"/>
      <c r="T10" s="24"/>
      <c r="U10" s="24"/>
      <c r="V10" s="24"/>
      <c r="W10" s="24"/>
    </row>
    <row r="11" spans="1:23" ht="13.5" customHeight="1" x14ac:dyDescent="0.2">
      <c r="A11" s="57" t="s">
        <v>28</v>
      </c>
      <c r="B11" s="62">
        <v>64929.05</v>
      </c>
      <c r="C11" s="62">
        <v>30318292.560000002</v>
      </c>
      <c r="D11" s="56">
        <v>1144242.7799999998</v>
      </c>
      <c r="G11" s="23"/>
      <c r="H11" s="24"/>
      <c r="I11" s="24"/>
      <c r="J11" s="24"/>
      <c r="K11" s="25"/>
      <c r="T11" s="24"/>
      <c r="U11" s="24"/>
      <c r="V11" s="24"/>
      <c r="W11" s="24"/>
    </row>
    <row r="12" spans="1:23" ht="13.5" customHeight="1" x14ac:dyDescent="0.2">
      <c r="A12" s="57" t="s">
        <v>67</v>
      </c>
      <c r="B12" s="62">
        <v>18133761.550000012</v>
      </c>
      <c r="C12" s="62">
        <v>119614309.31</v>
      </c>
      <c r="D12" s="56">
        <v>106975979.49000002</v>
      </c>
      <c r="G12" s="23"/>
      <c r="H12" s="24"/>
      <c r="I12" s="24"/>
      <c r="J12" s="24"/>
      <c r="K12" s="25"/>
      <c r="T12" s="24"/>
      <c r="U12" s="24"/>
      <c r="V12" s="24"/>
      <c r="W12" s="24"/>
    </row>
    <row r="13" spans="1:23" ht="13.5" customHeight="1" x14ac:dyDescent="0.2">
      <c r="A13" s="83" t="s">
        <v>32</v>
      </c>
      <c r="B13" s="78" t="s">
        <v>56</v>
      </c>
      <c r="C13" s="62">
        <v>27856772.939999998</v>
      </c>
      <c r="D13" s="78" t="s">
        <v>56</v>
      </c>
      <c r="G13" s="23"/>
      <c r="H13" s="24"/>
      <c r="I13" s="24"/>
      <c r="J13" s="24"/>
      <c r="K13" s="25"/>
      <c r="T13" s="24"/>
      <c r="U13" s="24"/>
      <c r="V13" s="24"/>
      <c r="W13" s="24"/>
    </row>
    <row r="14" spans="1:23" ht="13.5" customHeight="1" x14ac:dyDescent="0.2">
      <c r="A14" s="57" t="s">
        <v>136</v>
      </c>
      <c r="B14" s="78">
        <v>6446547.7899999954</v>
      </c>
      <c r="C14" s="78">
        <v>55207040.099999987</v>
      </c>
      <c r="D14" s="116">
        <v>23076289.220000044</v>
      </c>
      <c r="G14" s="23"/>
      <c r="H14" s="24"/>
      <c r="I14" s="24"/>
      <c r="J14" s="24"/>
      <c r="K14" s="25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ht="13.5" customHeight="1" x14ac:dyDescent="0.2">
      <c r="A15" s="57" t="s">
        <v>70</v>
      </c>
      <c r="B15" s="62">
        <v>5852013.2299999949</v>
      </c>
      <c r="C15" s="62">
        <v>42014019.159999996</v>
      </c>
      <c r="D15" s="56">
        <v>35221920.550000012</v>
      </c>
      <c r="G15" s="23"/>
      <c r="H15" s="24"/>
      <c r="I15" s="24"/>
      <c r="J15" s="24"/>
      <c r="K15" s="25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ht="13.5" customHeight="1" x14ac:dyDescent="0.2">
      <c r="A16" s="64" t="s">
        <v>71</v>
      </c>
      <c r="B16" s="65">
        <v>170090783.87000012</v>
      </c>
      <c r="C16" s="65">
        <v>521728022.66000032</v>
      </c>
      <c r="D16" s="65">
        <v>543179236.58000469</v>
      </c>
      <c r="G16" s="23"/>
      <c r="H16" s="24"/>
      <c r="I16" s="24"/>
      <c r="J16" s="24"/>
      <c r="K16" s="25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ht="13.5" customHeight="1" x14ac:dyDescent="0.2">
      <c r="A17" s="43" t="s">
        <v>84</v>
      </c>
      <c r="B17" s="45"/>
      <c r="C17" s="45"/>
      <c r="D17" s="44"/>
      <c r="G17" s="23"/>
      <c r="H17" s="24"/>
      <c r="I17" s="24"/>
      <c r="J17" s="24"/>
      <c r="K17" s="25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ht="13.5" customHeight="1" x14ac:dyDescent="0.2">
      <c r="A18" s="87" t="s">
        <v>73</v>
      </c>
      <c r="B18" s="135">
        <v>9.4110963722992769E-2</v>
      </c>
      <c r="C18" s="135">
        <v>0.5312199430181811</v>
      </c>
      <c r="D18" s="135">
        <v>0.44512751378039445</v>
      </c>
      <c r="G18" s="23"/>
      <c r="H18" s="24"/>
      <c r="I18" s="24"/>
      <c r="J18" s="24"/>
      <c r="K18" s="25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ht="13.5" customHeight="1" x14ac:dyDescent="0.2">
      <c r="A19" s="63" t="s">
        <v>17</v>
      </c>
      <c r="B19" s="136">
        <v>0.58173086302881094</v>
      </c>
      <c r="C19" s="136">
        <v>0.11936746410560584</v>
      </c>
      <c r="D19" s="136">
        <v>3.5239961028395383E-2</v>
      </c>
      <c r="G19" s="23"/>
      <c r="H19" s="24"/>
      <c r="I19" s="24"/>
      <c r="J19" s="24"/>
      <c r="K19" s="25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ht="13.5" customHeight="1" x14ac:dyDescent="0.2">
      <c r="A20" s="63" t="s">
        <v>18</v>
      </c>
      <c r="B20" s="136">
        <v>8.3744376606354851E-2</v>
      </c>
      <c r="C20" s="136">
        <v>0.11148334319321726</v>
      </c>
      <c r="D20" s="136">
        <v>7.5122866171410355E-2</v>
      </c>
      <c r="G20" s="23"/>
      <c r="H20" s="24"/>
      <c r="I20" s="24"/>
      <c r="J20" s="24"/>
      <c r="K20" s="25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ht="13.5" customHeight="1" x14ac:dyDescent="0.2">
      <c r="A21" s="57" t="s">
        <v>64</v>
      </c>
      <c r="B21" s="136">
        <v>0.13121502306683452</v>
      </c>
      <c r="C21" s="136">
        <v>4.4390908889832669E-3</v>
      </c>
      <c r="D21" s="136">
        <v>3.1344238738867061E-4</v>
      </c>
      <c r="G21" s="23"/>
      <c r="H21" s="24"/>
      <c r="I21" s="24"/>
      <c r="J21" s="24"/>
      <c r="K21" s="25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ht="13.5" customHeight="1" x14ac:dyDescent="0.2">
      <c r="A22" s="57" t="s">
        <v>28</v>
      </c>
      <c r="B22" s="136">
        <v>3.5346936880209734E-5</v>
      </c>
      <c r="C22" s="136">
        <v>8.8850022041758684E-3</v>
      </c>
      <c r="D22" s="136">
        <v>7.1627675267509083E-4</v>
      </c>
      <c r="H22" s="24"/>
      <c r="I22" s="24"/>
      <c r="J22" s="24"/>
      <c r="K22" s="25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ht="13.5" customHeight="1" x14ac:dyDescent="0.2">
      <c r="A23" s="57" t="s">
        <v>19</v>
      </c>
      <c r="B23" s="136">
        <v>9.8718974774561555E-3</v>
      </c>
      <c r="C23" s="136">
        <v>3.5053867224451772E-2</v>
      </c>
      <c r="D23" s="136">
        <v>6.6965165559824943E-2</v>
      </c>
      <c r="G23" s="23"/>
      <c r="H23" s="24"/>
      <c r="I23" s="24"/>
      <c r="J23" s="24"/>
      <c r="K23" s="25"/>
    </row>
    <row r="24" spans="1:23" ht="13.5" customHeight="1" x14ac:dyDescent="0.2">
      <c r="A24" s="83" t="s">
        <v>32</v>
      </c>
      <c r="B24" s="136" t="s">
        <v>56</v>
      </c>
      <c r="C24" s="136">
        <v>8.1636354845283105E-3</v>
      </c>
      <c r="D24" s="136" t="s">
        <v>56</v>
      </c>
      <c r="G24" s="23"/>
      <c r="H24" s="24"/>
      <c r="I24" s="24"/>
      <c r="J24" s="24"/>
      <c r="K24" s="25"/>
    </row>
    <row r="25" spans="1:23" ht="13.5" customHeight="1" x14ac:dyDescent="0.2">
      <c r="A25" s="57" t="s">
        <v>136</v>
      </c>
      <c r="B25" s="78">
        <v>3.5094571355716031E-3</v>
      </c>
      <c r="C25" s="136">
        <v>1.6178835665095429E-2</v>
      </c>
      <c r="D25" s="78">
        <v>1.444536928281325E-2</v>
      </c>
      <c r="H25" s="24"/>
      <c r="I25" s="24"/>
      <c r="J25" s="24"/>
      <c r="K25" s="25"/>
    </row>
    <row r="26" spans="1:23" ht="13.5" customHeight="1" x14ac:dyDescent="0.2">
      <c r="A26" s="57" t="s">
        <v>74</v>
      </c>
      <c r="B26" s="136">
        <v>3.1857965311822998E-3</v>
      </c>
      <c r="C26" s="136">
        <v>1.2312522286805426E-2</v>
      </c>
      <c r="D26" s="136">
        <v>2.2048330402866134E-2</v>
      </c>
      <c r="H26" s="24"/>
      <c r="I26" s="24"/>
      <c r="J26" s="24"/>
      <c r="K26" s="25"/>
    </row>
    <row r="27" spans="1:23" ht="13.5" customHeight="1" x14ac:dyDescent="0.2">
      <c r="A27" s="64" t="s">
        <v>75</v>
      </c>
      <c r="B27" s="137">
        <v>9.2596275493916677E-2</v>
      </c>
      <c r="C27" s="137">
        <v>0.15289629592895584</v>
      </c>
      <c r="D27" s="137">
        <v>0.3400210746342317</v>
      </c>
      <c r="G27" s="31"/>
      <c r="H27" s="24"/>
      <c r="I27" s="24"/>
      <c r="J27" s="24"/>
      <c r="K27" s="25"/>
    </row>
    <row r="28" spans="1:23" ht="13.5" customHeight="1" x14ac:dyDescent="0.2">
      <c r="G28" s="24"/>
      <c r="H28" s="24"/>
      <c r="I28" s="24"/>
      <c r="J28" s="24"/>
      <c r="K28" s="25"/>
    </row>
    <row r="29" spans="1:23" ht="13.5" customHeight="1" x14ac:dyDescent="0.2">
      <c r="B29" s="2"/>
      <c r="G29" s="23"/>
      <c r="H29" s="24"/>
      <c r="I29" s="24"/>
      <c r="J29" s="24"/>
      <c r="K29" s="2"/>
    </row>
    <row r="30" spans="1:23" ht="13.5" customHeight="1" x14ac:dyDescent="0.2">
      <c r="B30" s="2"/>
      <c r="K30" s="2"/>
    </row>
    <row r="31" spans="1:23" ht="13.5" customHeight="1" x14ac:dyDescent="0.2">
      <c r="B31" s="2"/>
    </row>
    <row r="32" spans="1:23" ht="13.5" customHeight="1" x14ac:dyDescent="0.2">
      <c r="B32" s="2"/>
    </row>
    <row r="33" spans="2:2" ht="13.5" customHeight="1" x14ac:dyDescent="0.2">
      <c r="B33" s="2"/>
    </row>
    <row r="34" spans="2:2" ht="13.5" customHeight="1" x14ac:dyDescent="0.2">
      <c r="B34" s="2"/>
    </row>
    <row r="35" spans="2:2" ht="13.5" customHeight="1" x14ac:dyDescent="0.2">
      <c r="B35" s="2"/>
    </row>
    <row r="36" spans="2:2" ht="13.5" customHeight="1" x14ac:dyDescent="0.2">
      <c r="B36" s="2"/>
    </row>
    <row r="37" spans="2:2" ht="13.5" customHeight="1" x14ac:dyDescent="0.2">
      <c r="B37" s="2"/>
    </row>
    <row r="38" spans="2:2" ht="13.5" customHeight="1" x14ac:dyDescent="0.2">
      <c r="B38" s="2"/>
    </row>
  </sheetData>
  <mergeCells count="2">
    <mergeCell ref="A4:A5"/>
    <mergeCell ref="B4:D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showGridLines="0" zoomScaleNormal="100" workbookViewId="0">
      <selection activeCell="A3" sqref="A3"/>
    </sheetView>
  </sheetViews>
  <sheetFormatPr defaultColWidth="9" defaultRowHeight="13.5" customHeight="1" x14ac:dyDescent="0.2"/>
  <cols>
    <col min="1" max="1" width="23.25" style="2" customWidth="1"/>
    <col min="2" max="4" width="14.125" style="2" customWidth="1"/>
    <col min="5" max="6" width="9" style="2"/>
    <col min="7" max="9" width="13.125" style="2" customWidth="1"/>
    <col min="10" max="11" width="9" style="2"/>
    <col min="12" max="12" width="21.25" style="2" customWidth="1"/>
    <col min="13" max="13" width="9.875" style="2" customWidth="1"/>
    <col min="14" max="14" width="9.5" style="2" customWidth="1"/>
    <col min="15" max="15" width="9.375" style="2" customWidth="1"/>
    <col min="16" max="16384" width="9" style="2"/>
  </cols>
  <sheetData>
    <row r="1" spans="1:8" ht="13.5" customHeight="1" x14ac:dyDescent="0.2">
      <c r="A1" s="16" t="s">
        <v>139</v>
      </c>
      <c r="B1" s="3"/>
      <c r="F1" s="131" t="s">
        <v>137</v>
      </c>
    </row>
    <row r="2" spans="1:8" ht="13.5" customHeight="1" x14ac:dyDescent="0.2">
      <c r="A2" s="31" t="s">
        <v>144</v>
      </c>
      <c r="B2" s="3"/>
    </row>
    <row r="3" spans="1:8" ht="13.5" customHeight="1" x14ac:dyDescent="0.2">
      <c r="B3" s="3"/>
    </row>
    <row r="4" spans="1:8" ht="13.5" customHeight="1" x14ac:dyDescent="0.2">
      <c r="A4" s="168" t="s">
        <v>29</v>
      </c>
      <c r="B4" s="168" t="s">
        <v>83</v>
      </c>
      <c r="C4" s="168"/>
      <c r="D4" s="168"/>
    </row>
    <row r="5" spans="1:8" ht="36" customHeight="1" x14ac:dyDescent="0.2">
      <c r="A5" s="168"/>
      <c r="B5" s="33" t="s">
        <v>76</v>
      </c>
      <c r="C5" s="33" t="s">
        <v>79</v>
      </c>
      <c r="D5" s="33" t="s">
        <v>78</v>
      </c>
    </row>
    <row r="6" spans="1:8" ht="13.5" customHeight="1" x14ac:dyDescent="0.2">
      <c r="A6" s="69" t="s">
        <v>14</v>
      </c>
      <c r="B6" s="70">
        <v>1880767524.2399995</v>
      </c>
      <c r="C6" s="70">
        <v>3380447811.9499998</v>
      </c>
      <c r="D6" s="70">
        <v>1989759766.1599982</v>
      </c>
    </row>
    <row r="7" spans="1:8" ht="13.5" customHeight="1" x14ac:dyDescent="0.2">
      <c r="A7" s="63" t="s">
        <v>63</v>
      </c>
      <c r="B7" s="71">
        <v>904567006.3900007</v>
      </c>
      <c r="C7" s="71">
        <v>2573604138.4300008</v>
      </c>
      <c r="D7" s="71">
        <v>1449803606.0700035</v>
      </c>
    </row>
    <row r="8" spans="1:8" ht="13.5" customHeight="1" x14ac:dyDescent="0.2">
      <c r="A8" s="63" t="s">
        <v>65</v>
      </c>
      <c r="B8" s="71">
        <v>841433263.99999928</v>
      </c>
      <c r="C8" s="71">
        <v>126561704.36000001</v>
      </c>
      <c r="D8" s="71">
        <v>311333125.30999982</v>
      </c>
    </row>
    <row r="9" spans="1:8" ht="13.5" customHeight="1" x14ac:dyDescent="0.2">
      <c r="A9" s="63" t="s">
        <v>66</v>
      </c>
      <c r="B9" s="71">
        <v>59440.740000000005</v>
      </c>
      <c r="C9" s="71">
        <v>283503020.50999999</v>
      </c>
      <c r="D9" s="71">
        <v>11912879.56000001</v>
      </c>
      <c r="G9" s="30"/>
      <c r="H9" s="30"/>
    </row>
    <row r="10" spans="1:8" ht="13.5" customHeight="1" x14ac:dyDescent="0.2">
      <c r="A10" s="72" t="s">
        <v>68</v>
      </c>
      <c r="B10" s="73">
        <v>134707813.10999998</v>
      </c>
      <c r="C10" s="73">
        <v>396778948.64999998</v>
      </c>
      <c r="D10" s="73">
        <v>216710155.22000065</v>
      </c>
      <c r="G10" s="30"/>
      <c r="H10" s="30"/>
    </row>
    <row r="11" spans="1:8" ht="13.5" customHeight="1" x14ac:dyDescent="0.2">
      <c r="A11" s="43" t="s">
        <v>84</v>
      </c>
      <c r="B11" s="45"/>
      <c r="C11" s="45"/>
      <c r="D11" s="45"/>
      <c r="G11" s="30"/>
      <c r="H11" s="30"/>
    </row>
    <row r="12" spans="1:8" ht="13.5" customHeight="1" x14ac:dyDescent="0.2">
      <c r="A12" s="146" t="s">
        <v>63</v>
      </c>
      <c r="B12" s="84">
        <v>0.48095630891730107</v>
      </c>
      <c r="C12" s="84">
        <v>0.76132047633814115</v>
      </c>
      <c r="D12" s="84">
        <v>0.72863248655788915</v>
      </c>
      <c r="G12" s="30"/>
      <c r="H12" s="30"/>
    </row>
    <row r="13" spans="1:8" ht="13.5" customHeight="1" x14ac:dyDescent="0.2">
      <c r="A13" s="63" t="s">
        <v>65</v>
      </c>
      <c r="B13" s="85">
        <v>0.44738823547052398</v>
      </c>
      <c r="C13" s="85">
        <v>3.7439330940888964E-2</v>
      </c>
      <c r="D13" s="85">
        <v>0.15646769555042117</v>
      </c>
      <c r="G13" s="29"/>
      <c r="H13" s="29"/>
    </row>
    <row r="14" spans="1:8" ht="13.5" customHeight="1" x14ac:dyDescent="0.2">
      <c r="A14" s="63" t="s">
        <v>77</v>
      </c>
      <c r="B14" s="85">
        <v>3.1604512112159873E-5</v>
      </c>
      <c r="C14" s="85">
        <v>8.3865522049418134E-2</v>
      </c>
      <c r="D14" s="85">
        <v>5.9870944033562721E-3</v>
      </c>
      <c r="G14" s="29"/>
      <c r="H14" s="29"/>
    </row>
    <row r="15" spans="1:8" ht="13.5" customHeight="1" x14ac:dyDescent="0.2">
      <c r="A15" s="72" t="s">
        <v>33</v>
      </c>
      <c r="B15" s="86">
        <v>7.1623851100063071E-2</v>
      </c>
      <c r="C15" s="86">
        <v>0.11737467067155206</v>
      </c>
      <c r="D15" s="86">
        <v>0.10891272348833633</v>
      </c>
    </row>
    <row r="17" spans="1:5" ht="13.5" customHeight="1" x14ac:dyDescent="0.2">
      <c r="A17" s="29"/>
      <c r="B17" s="104"/>
      <c r="C17" s="104"/>
      <c r="D17" s="104"/>
      <c r="E17" s="29"/>
    </row>
    <row r="18" spans="1:5" ht="13.5" customHeight="1" x14ac:dyDescent="0.2">
      <c r="A18" s="29"/>
      <c r="B18" s="105"/>
      <c r="C18" s="105"/>
      <c r="D18" s="106"/>
      <c r="E18" s="29"/>
    </row>
    <row r="19" spans="1:5" ht="13.5" customHeight="1" x14ac:dyDescent="0.2">
      <c r="A19" s="29"/>
      <c r="B19" s="106"/>
      <c r="C19" s="106"/>
      <c r="D19" s="106"/>
      <c r="E19" s="29"/>
    </row>
    <row r="20" spans="1:5" ht="13.5" customHeight="1" x14ac:dyDescent="0.2">
      <c r="A20" s="29"/>
      <c r="B20" s="106"/>
      <c r="C20" s="106"/>
      <c r="D20" s="106"/>
      <c r="E20" s="29"/>
    </row>
    <row r="34" spans="2:4" ht="13.5" customHeight="1" x14ac:dyDescent="0.2">
      <c r="B34" s="103"/>
      <c r="C34" s="103"/>
      <c r="D34" s="103"/>
    </row>
    <row r="35" spans="2:4" ht="13.5" customHeight="1" x14ac:dyDescent="0.2">
      <c r="B35" s="103"/>
      <c r="C35" s="103"/>
      <c r="D35" s="103"/>
    </row>
    <row r="36" spans="2:4" ht="13.5" customHeight="1" x14ac:dyDescent="0.2">
      <c r="B36" s="103"/>
      <c r="C36" s="103"/>
      <c r="D36" s="103"/>
    </row>
    <row r="37" spans="2:4" ht="13.5" customHeight="1" x14ac:dyDescent="0.2">
      <c r="B37" s="103"/>
      <c r="C37" s="103"/>
      <c r="D37" s="103"/>
    </row>
    <row r="76" spans="7:9" ht="13.5" customHeight="1" x14ac:dyDescent="0.2">
      <c r="G76" s="20"/>
      <c r="H76" s="21"/>
      <c r="I76" s="20"/>
    </row>
    <row r="77" spans="7:9" ht="13.5" customHeight="1" x14ac:dyDescent="0.2">
      <c r="G77" s="15"/>
      <c r="H77" s="22"/>
      <c r="I77" s="15"/>
    </row>
    <row r="78" spans="7:9" ht="13.5" customHeight="1" x14ac:dyDescent="0.2">
      <c r="G78" s="15"/>
      <c r="H78" s="22"/>
      <c r="I78" s="15"/>
    </row>
    <row r="79" spans="7:9" ht="13.5" customHeight="1" x14ac:dyDescent="0.2">
      <c r="G79" s="15"/>
      <c r="H79" s="22"/>
      <c r="I79" s="15"/>
    </row>
    <row r="80" spans="7:9" ht="13.5" customHeight="1" x14ac:dyDescent="0.2">
      <c r="G80" s="15"/>
      <c r="H80" s="22"/>
      <c r="I80" s="15"/>
    </row>
    <row r="81" spans="7:9" ht="13.5" customHeight="1" x14ac:dyDescent="0.2">
      <c r="G81" s="15"/>
      <c r="H81" s="22"/>
      <c r="I81" s="15"/>
    </row>
    <row r="82" spans="7:9" ht="13.5" customHeight="1" x14ac:dyDescent="0.2">
      <c r="G82" s="15"/>
      <c r="H82" s="22"/>
      <c r="I82" s="15"/>
    </row>
    <row r="83" spans="7:9" ht="13.5" customHeight="1" x14ac:dyDescent="0.2">
      <c r="G83" s="15"/>
      <c r="H83" s="22"/>
      <c r="I83" s="15"/>
    </row>
    <row r="84" spans="7:9" ht="13.5" customHeight="1" x14ac:dyDescent="0.2">
      <c r="G84" s="15"/>
      <c r="H84" s="22"/>
      <c r="I84" s="15"/>
    </row>
    <row r="85" spans="7:9" ht="13.5" customHeight="1" x14ac:dyDescent="0.2">
      <c r="G85" s="15"/>
      <c r="H85" s="22"/>
      <c r="I85" s="15"/>
    </row>
    <row r="114" ht="38.25" customHeight="1" x14ac:dyDescent="0.2"/>
  </sheetData>
  <mergeCells count="2">
    <mergeCell ref="A4:A5"/>
    <mergeCell ref="B4:D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zoomScaleNormal="100" workbookViewId="0">
      <selection activeCell="A3" sqref="A3"/>
    </sheetView>
  </sheetViews>
  <sheetFormatPr defaultColWidth="9" defaultRowHeight="13.5" customHeight="1" x14ac:dyDescent="0.2"/>
  <cols>
    <col min="1" max="1" width="21" style="2" customWidth="1"/>
    <col min="2" max="5" width="14.375" style="2" customWidth="1"/>
    <col min="6" max="8" width="13.5" style="2" customWidth="1"/>
    <col min="9" max="9" width="13.375" style="2" customWidth="1"/>
    <col min="10" max="16384" width="9" style="2"/>
  </cols>
  <sheetData>
    <row r="1" spans="1:8" ht="13.5" customHeight="1" x14ac:dyDescent="0.2">
      <c r="A1" s="16" t="s">
        <v>139</v>
      </c>
      <c r="C1" s="3"/>
      <c r="F1" s="131" t="s">
        <v>137</v>
      </c>
    </row>
    <row r="2" spans="1:8" ht="13.5" customHeight="1" x14ac:dyDescent="0.2">
      <c r="A2" s="31" t="s">
        <v>145</v>
      </c>
      <c r="C2" s="3"/>
    </row>
    <row r="3" spans="1:8" ht="13.5" customHeight="1" x14ac:dyDescent="0.2">
      <c r="C3" s="3"/>
    </row>
    <row r="4" spans="1:8" ht="13.5" customHeight="1" x14ac:dyDescent="0.2">
      <c r="A4" s="168" t="s">
        <v>29</v>
      </c>
      <c r="B4" s="168" t="s">
        <v>48</v>
      </c>
      <c r="C4" s="168"/>
      <c r="D4" s="168"/>
      <c r="E4" s="168"/>
    </row>
    <row r="5" spans="1:8" ht="53.25" customHeight="1" x14ac:dyDescent="0.2">
      <c r="A5" s="169"/>
      <c r="B5" s="33" t="s">
        <v>82</v>
      </c>
      <c r="C5" s="33" t="s">
        <v>26</v>
      </c>
      <c r="D5" s="33" t="s">
        <v>81</v>
      </c>
      <c r="E5" s="33" t="s">
        <v>80</v>
      </c>
    </row>
    <row r="6" spans="1:8" ht="13.5" customHeight="1" x14ac:dyDescent="0.2">
      <c r="A6" s="74" t="s">
        <v>12</v>
      </c>
      <c r="B6" s="134">
        <v>93618647.359999999</v>
      </c>
      <c r="C6" s="134">
        <v>26115648.400000002</v>
      </c>
      <c r="D6" s="134">
        <v>1647270304.23</v>
      </c>
      <c r="E6" s="134">
        <v>1645295348.0900002</v>
      </c>
    </row>
    <row r="7" spans="1:8" ht="13.5" customHeight="1" x14ac:dyDescent="0.2">
      <c r="A7" s="75" t="s">
        <v>61</v>
      </c>
      <c r="B7" s="78">
        <v>45312701.93</v>
      </c>
      <c r="C7" s="78">
        <v>17896891.32</v>
      </c>
      <c r="D7" s="78">
        <v>873577687.31999993</v>
      </c>
      <c r="E7" s="78">
        <v>875894503.40999985</v>
      </c>
    </row>
    <row r="8" spans="1:8" ht="13.5" customHeight="1" x14ac:dyDescent="0.2">
      <c r="A8" s="76" t="s">
        <v>62</v>
      </c>
      <c r="B8" s="78">
        <v>265595.68</v>
      </c>
      <c r="C8" s="78">
        <v>765511.80999999994</v>
      </c>
      <c r="D8" s="78">
        <v>243407578.59</v>
      </c>
      <c r="E8" s="78">
        <v>162878905.49000001</v>
      </c>
    </row>
    <row r="9" spans="1:8" ht="13.5" customHeight="1" x14ac:dyDescent="0.2">
      <c r="A9" s="76" t="s">
        <v>18</v>
      </c>
      <c r="B9" s="78">
        <v>510765.41</v>
      </c>
      <c r="C9" s="78">
        <v>192825.83000000002</v>
      </c>
      <c r="D9" s="78">
        <v>181005854.57000005</v>
      </c>
      <c r="E9" s="78">
        <v>198705160.38000003</v>
      </c>
    </row>
    <row r="10" spans="1:8" ht="13.5" customHeight="1" x14ac:dyDescent="0.2">
      <c r="A10" s="77" t="s">
        <v>64</v>
      </c>
      <c r="B10" s="78" t="s">
        <v>56</v>
      </c>
      <c r="C10" s="78" t="s">
        <v>56</v>
      </c>
      <c r="D10" s="78">
        <v>2233213.69</v>
      </c>
      <c r="E10" s="78">
        <v>12914295.920000002</v>
      </c>
    </row>
    <row r="11" spans="1:8" ht="13.5" customHeight="1" x14ac:dyDescent="0.2">
      <c r="A11" s="77" t="s">
        <v>28</v>
      </c>
      <c r="B11" s="78">
        <v>279</v>
      </c>
      <c r="C11" s="78">
        <v>188.6</v>
      </c>
      <c r="D11" s="78">
        <v>18442224.069999997</v>
      </c>
      <c r="E11" s="78">
        <v>11875600.890000002</v>
      </c>
    </row>
    <row r="12" spans="1:8" ht="13.5" customHeight="1" x14ac:dyDescent="0.2">
      <c r="A12" s="77" t="s">
        <v>67</v>
      </c>
      <c r="B12" s="78">
        <v>7185301.5</v>
      </c>
      <c r="C12" s="78">
        <v>910137.20000000007</v>
      </c>
      <c r="D12" s="78">
        <v>58497220.690000005</v>
      </c>
      <c r="E12" s="78">
        <v>53021649.920000002</v>
      </c>
      <c r="F12" s="24"/>
      <c r="G12" s="24"/>
      <c r="H12" s="24"/>
    </row>
    <row r="13" spans="1:8" ht="13.5" customHeight="1" x14ac:dyDescent="0.2">
      <c r="A13" s="77" t="s">
        <v>69</v>
      </c>
      <c r="B13" s="78">
        <v>5760125.4699999988</v>
      </c>
      <c r="C13" s="78">
        <v>890277.89999999991</v>
      </c>
      <c r="D13" s="78">
        <v>11031997.160000002</v>
      </c>
      <c r="E13" s="78">
        <v>10174372.409999996</v>
      </c>
      <c r="F13" s="31"/>
      <c r="G13" s="24"/>
      <c r="H13" s="24"/>
    </row>
    <row r="14" spans="1:8" ht="13.5" customHeight="1" x14ac:dyDescent="0.2">
      <c r="A14" s="77" t="s">
        <v>136</v>
      </c>
      <c r="B14" s="78">
        <v>5442118.0499999998</v>
      </c>
      <c r="C14" s="78">
        <v>613661.82999999996</v>
      </c>
      <c r="D14" s="78">
        <v>23060574.359999999</v>
      </c>
      <c r="E14" s="78">
        <v>26090685.859999988</v>
      </c>
      <c r="F14" s="26"/>
      <c r="G14" s="24"/>
      <c r="H14" s="24"/>
    </row>
    <row r="15" spans="1:8" ht="13.5" customHeight="1" x14ac:dyDescent="0.2">
      <c r="A15" s="77" t="s">
        <v>70</v>
      </c>
      <c r="B15" s="78">
        <v>2840312.3400000003</v>
      </c>
      <c r="C15" s="78">
        <v>319099.75</v>
      </c>
      <c r="D15" s="78">
        <v>17400484.600000001</v>
      </c>
      <c r="E15" s="78">
        <v>21454122.469999999</v>
      </c>
      <c r="F15" s="24"/>
      <c r="G15" s="24"/>
      <c r="H15" s="24"/>
    </row>
    <row r="16" spans="1:8" ht="13.5" customHeight="1" x14ac:dyDescent="0.2">
      <c r="A16" s="79" t="s">
        <v>71</v>
      </c>
      <c r="B16" s="65">
        <v>26301447.980000004</v>
      </c>
      <c r="C16" s="65">
        <v>4527054.1600000076</v>
      </c>
      <c r="D16" s="65">
        <v>218613469.18000007</v>
      </c>
      <c r="E16" s="65">
        <v>272286051.33999991</v>
      </c>
      <c r="F16" s="24"/>
      <c r="G16" s="24"/>
      <c r="H16" s="24"/>
    </row>
    <row r="17" spans="1:8" ht="13.5" customHeight="1" x14ac:dyDescent="0.2">
      <c r="A17" s="43" t="s">
        <v>84</v>
      </c>
      <c r="B17" s="45"/>
      <c r="C17" s="45"/>
      <c r="D17" s="45"/>
      <c r="E17" s="45"/>
      <c r="F17" s="24"/>
      <c r="G17" s="24"/>
      <c r="H17" s="24"/>
    </row>
    <row r="18" spans="1:8" ht="13.5" customHeight="1" x14ac:dyDescent="0.2">
      <c r="A18" s="80" t="s">
        <v>61</v>
      </c>
      <c r="B18" s="66">
        <v>0.4840136362551265</v>
      </c>
      <c r="C18" s="66">
        <v>0.68529377658492285</v>
      </c>
      <c r="D18" s="66">
        <v>0.53031836067022708</v>
      </c>
      <c r="E18" s="66">
        <v>0.53236308266890398</v>
      </c>
      <c r="F18" s="24"/>
      <c r="G18" s="24"/>
      <c r="H18" s="24"/>
    </row>
    <row r="19" spans="1:8" ht="13.5" customHeight="1" x14ac:dyDescent="0.2">
      <c r="A19" s="76" t="s">
        <v>62</v>
      </c>
      <c r="B19" s="67">
        <v>2.8369954863658904E-3</v>
      </c>
      <c r="C19" s="67">
        <v>2.93123800058512E-2</v>
      </c>
      <c r="D19" s="67">
        <v>0.14776419994032397</v>
      </c>
      <c r="E19" s="67">
        <v>9.8996758046562161E-2</v>
      </c>
      <c r="F19" s="24"/>
      <c r="G19" s="24"/>
      <c r="H19" s="24"/>
    </row>
    <row r="20" spans="1:8" ht="13.5" customHeight="1" x14ac:dyDescent="0.2">
      <c r="A20" s="76" t="s">
        <v>18</v>
      </c>
      <c r="B20" s="67">
        <v>5.4558084783676583E-3</v>
      </c>
      <c r="C20" s="67">
        <v>7.3835359952234619E-3</v>
      </c>
      <c r="D20" s="67">
        <v>0.10988230292575414</v>
      </c>
      <c r="E20" s="67">
        <v>0.12077172685783984</v>
      </c>
      <c r="F20" s="24"/>
      <c r="G20" s="24"/>
      <c r="H20" s="24"/>
    </row>
    <row r="21" spans="1:8" ht="13.5" customHeight="1" x14ac:dyDescent="0.2">
      <c r="A21" s="77" t="s">
        <v>64</v>
      </c>
      <c r="B21" s="78" t="s">
        <v>56</v>
      </c>
      <c r="C21" s="78" t="s">
        <v>56</v>
      </c>
      <c r="D21" s="67">
        <v>1.3557056691092925E-3</v>
      </c>
      <c r="E21" s="67">
        <v>7.849226544639553E-3</v>
      </c>
      <c r="F21" s="24"/>
      <c r="G21" s="24"/>
    </row>
    <row r="22" spans="1:8" ht="13.5" customHeight="1" x14ac:dyDescent="0.2">
      <c r="A22" s="77" t="s">
        <v>28</v>
      </c>
      <c r="B22" s="67">
        <v>2.9801755084875004E-6</v>
      </c>
      <c r="C22" s="67">
        <v>7.2217238152126437E-6</v>
      </c>
      <c r="D22" s="67">
        <v>1.119562710663969E-2</v>
      </c>
      <c r="E22" s="67">
        <v>7.2179143421187072E-3</v>
      </c>
      <c r="F22" s="24"/>
      <c r="G22" s="2" t="s">
        <v>72</v>
      </c>
      <c r="H22" s="24"/>
    </row>
    <row r="23" spans="1:8" ht="13.5" customHeight="1" x14ac:dyDescent="0.2">
      <c r="A23" s="77" t="s">
        <v>67</v>
      </c>
      <c r="B23" s="67">
        <v>7.6750751080281357E-2</v>
      </c>
      <c r="C23" s="67">
        <v>3.4850262419676321E-2</v>
      </c>
      <c r="D23" s="67">
        <v>3.5511610049538254E-2</v>
      </c>
      <c r="E23" s="67">
        <v>3.2226220041010924E-2</v>
      </c>
      <c r="F23" s="24"/>
      <c r="G23" s="24"/>
      <c r="H23" s="24"/>
    </row>
    <row r="24" spans="1:8" ht="13.5" customHeight="1" x14ac:dyDescent="0.2">
      <c r="A24" s="77" t="s">
        <v>69</v>
      </c>
      <c r="B24" s="67">
        <v>6.1527544270641756E-2</v>
      </c>
      <c r="C24" s="67">
        <v>3.4089825623475609E-2</v>
      </c>
      <c r="D24" s="67">
        <v>6.6971383698662609E-3</v>
      </c>
      <c r="E24" s="67">
        <v>6.1839185419270042E-3</v>
      </c>
      <c r="F24" s="24"/>
    </row>
    <row r="25" spans="1:8" ht="13.5" customHeight="1" x14ac:dyDescent="0.2">
      <c r="A25" s="77" t="s">
        <v>136</v>
      </c>
      <c r="B25" s="67">
        <v>5.8130705831210591E-2</v>
      </c>
      <c r="C25" s="67">
        <v>2.3497859237529017E-2</v>
      </c>
      <c r="D25" s="67">
        <v>1.3999265512638154E-2</v>
      </c>
      <c r="E25" s="67">
        <v>1.5857752159992609E-2</v>
      </c>
      <c r="F25" s="24"/>
    </row>
    <row r="26" spans="1:8" ht="13.5" customHeight="1" x14ac:dyDescent="0.2">
      <c r="A26" s="77" t="s">
        <v>70</v>
      </c>
      <c r="B26" s="67">
        <v>3.0339173018361375E-2</v>
      </c>
      <c r="C26" s="67">
        <v>1.2218718260887598E-2</v>
      </c>
      <c r="D26" s="67">
        <v>1.0563223628397577E-2</v>
      </c>
      <c r="E26" s="67">
        <v>1.3039678556744103E-2</v>
      </c>
      <c r="F26" s="24"/>
    </row>
    <row r="27" spans="1:8" ht="13.5" customHeight="1" x14ac:dyDescent="0.2">
      <c r="A27" s="79" t="s">
        <v>71</v>
      </c>
      <c r="B27" s="68">
        <v>0.2809424054041364</v>
      </c>
      <c r="C27" s="68">
        <v>0.17334642014861892</v>
      </c>
      <c r="D27" s="68">
        <v>0.13271256612750557</v>
      </c>
      <c r="E27" s="68">
        <v>0.16549372224026093</v>
      </c>
      <c r="F27" s="24"/>
    </row>
    <row r="28" spans="1:8" ht="13.5" customHeight="1" x14ac:dyDescent="0.2">
      <c r="C28" s="3"/>
      <c r="D28" s="18"/>
      <c r="E28" s="18"/>
      <c r="F28" s="24"/>
    </row>
    <row r="29" spans="1:8" ht="13.5" customHeight="1" x14ac:dyDescent="0.2">
      <c r="A29" s="2" t="s">
        <v>72</v>
      </c>
      <c r="C29" s="3"/>
      <c r="D29" s="18"/>
      <c r="E29" s="18"/>
      <c r="F29" s="24"/>
    </row>
    <row r="30" spans="1:8" ht="13.5" customHeight="1" x14ac:dyDescent="0.2">
      <c r="E30" s="24"/>
      <c r="F30" s="24"/>
    </row>
    <row r="31" spans="1:8" ht="13.5" customHeight="1" x14ac:dyDescent="0.2">
      <c r="E31" s="24"/>
      <c r="F31" s="24"/>
    </row>
    <row r="32" spans="1:8" ht="13.5" customHeight="1" x14ac:dyDescent="0.2">
      <c r="E32" s="24"/>
      <c r="F32" s="24"/>
    </row>
    <row r="33" spans="5:6" ht="13.5" customHeight="1" x14ac:dyDescent="0.2">
      <c r="E33" s="24"/>
      <c r="F33" s="24"/>
    </row>
    <row r="34" spans="5:6" ht="13.5" customHeight="1" x14ac:dyDescent="0.2">
      <c r="E34" s="24"/>
      <c r="F34" s="24"/>
    </row>
    <row r="37" spans="5:6" ht="13.5" customHeight="1" x14ac:dyDescent="0.2">
      <c r="F37" s="27"/>
    </row>
  </sheetData>
  <mergeCells count="2">
    <mergeCell ref="A4:A5"/>
    <mergeCell ref="B4:E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showGridLines="0" zoomScaleNormal="100" workbookViewId="0">
      <selection activeCell="A3" sqref="A3"/>
    </sheetView>
  </sheetViews>
  <sheetFormatPr defaultColWidth="9" defaultRowHeight="13.5" customHeight="1" x14ac:dyDescent="0.2"/>
  <cols>
    <col min="1" max="1" width="25.5" style="2" customWidth="1"/>
    <col min="2" max="5" width="13.125" style="2" customWidth="1"/>
    <col min="6" max="8" width="9" style="2"/>
    <col min="9" max="9" width="13.375" style="2" customWidth="1"/>
    <col min="10" max="10" width="25" style="2" customWidth="1"/>
    <col min="11" max="11" width="13.125" style="2" customWidth="1"/>
    <col min="12" max="12" width="20.5" style="2" customWidth="1"/>
    <col min="13" max="15" width="11.625" style="2" customWidth="1"/>
    <col min="16" max="16" width="13.125" style="2" customWidth="1"/>
    <col min="17" max="16384" width="9" style="2"/>
  </cols>
  <sheetData>
    <row r="1" spans="1:17" ht="13.5" customHeight="1" x14ac:dyDescent="0.2">
      <c r="A1" s="16" t="s">
        <v>139</v>
      </c>
      <c r="C1" s="3"/>
      <c r="F1" s="131" t="s">
        <v>137</v>
      </c>
    </row>
    <row r="2" spans="1:17" ht="13.5" customHeight="1" x14ac:dyDescent="0.2">
      <c r="A2" s="31" t="s">
        <v>146</v>
      </c>
      <c r="C2" s="3"/>
      <c r="K2" s="19"/>
    </row>
    <row r="3" spans="1:17" ht="13.5" customHeight="1" x14ac:dyDescent="0.2">
      <c r="B3" s="24"/>
      <c r="C3" s="28"/>
      <c r="D3" s="24"/>
      <c r="E3" s="24"/>
      <c r="K3" s="24"/>
    </row>
    <row r="4" spans="1:17" ht="13.5" customHeight="1" x14ac:dyDescent="0.2">
      <c r="A4" s="168" t="s">
        <v>29</v>
      </c>
      <c r="B4" s="168" t="s">
        <v>48</v>
      </c>
      <c r="C4" s="168"/>
      <c r="D4" s="168"/>
      <c r="E4" s="168"/>
      <c r="K4" s="24"/>
    </row>
    <row r="5" spans="1:17" ht="42" customHeight="1" x14ac:dyDescent="0.2">
      <c r="A5" s="168"/>
      <c r="B5" s="33" t="s">
        <v>82</v>
      </c>
      <c r="C5" s="33" t="s">
        <v>26</v>
      </c>
      <c r="D5" s="33" t="s">
        <v>81</v>
      </c>
      <c r="E5" s="33" t="s">
        <v>80</v>
      </c>
      <c r="K5" s="24"/>
    </row>
    <row r="6" spans="1:17" ht="13.5" customHeight="1" x14ac:dyDescent="0.2">
      <c r="A6" s="69" t="s">
        <v>14</v>
      </c>
      <c r="B6" s="70">
        <v>98586949.670000002</v>
      </c>
      <c r="C6" s="70">
        <v>25518849.789999999</v>
      </c>
      <c r="D6" s="70">
        <v>1555557744.71</v>
      </c>
      <c r="E6" s="70">
        <v>1700784267.78</v>
      </c>
      <c r="K6" s="24"/>
    </row>
    <row r="7" spans="1:17" ht="13.5" customHeight="1" x14ac:dyDescent="0.2">
      <c r="A7" s="63" t="s">
        <v>63</v>
      </c>
      <c r="B7" s="71">
        <v>36815699.909999996</v>
      </c>
      <c r="C7" s="71">
        <v>20810878.469999999</v>
      </c>
      <c r="D7" s="71">
        <v>1127264165.3800001</v>
      </c>
      <c r="E7" s="71">
        <v>1388713394.6700006</v>
      </c>
    </row>
    <row r="8" spans="1:17" ht="13.5" customHeight="1" x14ac:dyDescent="0.2">
      <c r="A8" s="63" t="s">
        <v>65</v>
      </c>
      <c r="B8" s="71">
        <v>39992935.689999998</v>
      </c>
      <c r="C8" s="71">
        <v>304910.27</v>
      </c>
      <c r="D8" s="71">
        <v>31638393.999999996</v>
      </c>
      <c r="E8" s="71">
        <v>54625464.400000028</v>
      </c>
    </row>
    <row r="9" spans="1:17" ht="13.5" customHeight="1" x14ac:dyDescent="0.2">
      <c r="A9" s="63" t="s">
        <v>66</v>
      </c>
      <c r="B9" s="71">
        <v>841041.30999999994</v>
      </c>
      <c r="C9" s="71">
        <v>282357.65000000002</v>
      </c>
      <c r="D9" s="71">
        <v>274074676.10000002</v>
      </c>
      <c r="E9" s="71">
        <v>8304945.4500000002</v>
      </c>
      <c r="K9" s="30"/>
    </row>
    <row r="10" spans="1:17" ht="13.5" customHeight="1" x14ac:dyDescent="0.2">
      <c r="A10" s="72" t="s">
        <v>68</v>
      </c>
      <c r="B10" s="73">
        <v>20937272.760000002</v>
      </c>
      <c r="C10" s="73">
        <v>4120703.4</v>
      </c>
      <c r="D10" s="73">
        <v>122580509.22999999</v>
      </c>
      <c r="E10" s="73">
        <v>249140463.25999999</v>
      </c>
      <c r="K10" s="30"/>
    </row>
    <row r="11" spans="1:17" ht="13.5" customHeight="1" x14ac:dyDescent="0.2">
      <c r="A11" s="43" t="s">
        <v>84</v>
      </c>
      <c r="B11" s="45"/>
      <c r="C11" s="45"/>
      <c r="D11" s="45"/>
      <c r="E11" s="45"/>
      <c r="K11" s="30"/>
      <c r="P11"/>
      <c r="Q11" s="42"/>
    </row>
    <row r="12" spans="1:17" ht="13.5" customHeight="1" x14ac:dyDescent="0.2">
      <c r="A12" s="146" t="s">
        <v>63</v>
      </c>
      <c r="B12" s="84">
        <v>0.37343380673844917</v>
      </c>
      <c r="C12" s="84">
        <v>0.81551005007110866</v>
      </c>
      <c r="D12" s="84">
        <v>0.72466880076519047</v>
      </c>
      <c r="E12" s="84">
        <v>0.81651354670787302</v>
      </c>
      <c r="K12" s="30"/>
      <c r="P12"/>
      <c r="Q12" s="42"/>
    </row>
    <row r="13" spans="1:17" ht="13.5" customHeight="1" x14ac:dyDescent="0.2">
      <c r="A13" s="63" t="s">
        <v>65</v>
      </c>
      <c r="B13" s="85">
        <v>0.40566155889667255</v>
      </c>
      <c r="C13" s="85">
        <v>1.1948433119406673E-2</v>
      </c>
      <c r="D13" s="85">
        <v>2.0338938948163757E-2</v>
      </c>
      <c r="E13" s="85">
        <v>3.21178090806905E-2</v>
      </c>
      <c r="K13" s="29"/>
      <c r="P13"/>
      <c r="Q13" s="42"/>
    </row>
    <row r="14" spans="1:17" ht="13.5" customHeight="1" x14ac:dyDescent="0.2">
      <c r="A14" s="63" t="s">
        <v>77</v>
      </c>
      <c r="B14" s="85">
        <v>8.5309598564030711E-3</v>
      </c>
      <c r="C14" s="85">
        <v>1.106466993315062E-2</v>
      </c>
      <c r="D14" s="85">
        <v>0.17619061525169888</v>
      </c>
      <c r="E14" s="85">
        <v>4.8830093312423927E-3</v>
      </c>
      <c r="K14" s="29"/>
      <c r="P14"/>
      <c r="Q14" s="42"/>
    </row>
    <row r="15" spans="1:17" ht="13.5" customHeight="1" x14ac:dyDescent="0.2">
      <c r="A15" s="72" t="s">
        <v>33</v>
      </c>
      <c r="B15" s="86">
        <v>0.21237367450847514</v>
      </c>
      <c r="C15" s="86">
        <v>0.16147684687633407</v>
      </c>
      <c r="D15" s="86">
        <v>7.880164503494691E-2</v>
      </c>
      <c r="E15" s="86">
        <v>0.14648563488019448</v>
      </c>
    </row>
    <row r="16" spans="1:17" ht="13.5" customHeight="1" x14ac:dyDescent="0.2">
      <c r="C16" s="3"/>
    </row>
    <row r="17" spans="1:8" ht="13.5" customHeight="1" x14ac:dyDescent="0.2">
      <c r="A17" s="2" t="s">
        <v>72</v>
      </c>
      <c r="C17" s="3"/>
    </row>
    <row r="22" spans="1:8" ht="13.5" customHeight="1" x14ac:dyDescent="0.2">
      <c r="H22" s="2" t="s">
        <v>72</v>
      </c>
    </row>
    <row r="76" spans="10:15" ht="13.5" customHeight="1" x14ac:dyDescent="0.2">
      <c r="J76" s="20"/>
      <c r="K76" s="20"/>
      <c r="L76" s="20"/>
      <c r="M76" s="20"/>
      <c r="N76" s="20"/>
      <c r="O76" s="20"/>
    </row>
    <row r="77" spans="10:15" ht="13.5" customHeight="1" x14ac:dyDescent="0.2">
      <c r="J77" s="15"/>
      <c r="K77" s="15"/>
      <c r="L77" s="15"/>
      <c r="M77" s="15"/>
      <c r="N77" s="15"/>
      <c r="O77" s="15"/>
    </row>
    <row r="78" spans="10:15" ht="13.5" customHeight="1" x14ac:dyDescent="0.2">
      <c r="J78" s="15"/>
      <c r="K78" s="15"/>
      <c r="L78" s="15"/>
      <c r="M78" s="15"/>
      <c r="N78" s="15"/>
      <c r="O78" s="15"/>
    </row>
    <row r="79" spans="10:15" ht="13.5" customHeight="1" x14ac:dyDescent="0.2">
      <c r="J79" s="15"/>
      <c r="K79" s="15"/>
      <c r="L79" s="15"/>
      <c r="M79" s="15"/>
      <c r="N79" s="15"/>
      <c r="O79" s="15"/>
    </row>
    <row r="80" spans="10:15" ht="13.5" customHeight="1" x14ac:dyDescent="0.2">
      <c r="J80" s="15"/>
      <c r="K80" s="15"/>
      <c r="L80" s="15"/>
      <c r="M80" s="15"/>
      <c r="N80" s="15"/>
      <c r="O80" s="15"/>
    </row>
    <row r="81" spans="10:15" ht="13.5" customHeight="1" x14ac:dyDescent="0.2">
      <c r="J81" s="15"/>
      <c r="K81" s="15"/>
      <c r="L81" s="15"/>
      <c r="M81" s="15"/>
      <c r="N81" s="15"/>
      <c r="O81" s="15"/>
    </row>
    <row r="82" spans="10:15" ht="13.5" customHeight="1" x14ac:dyDescent="0.2">
      <c r="J82" s="15"/>
      <c r="K82" s="15"/>
      <c r="L82" s="15"/>
      <c r="M82" s="15"/>
      <c r="N82" s="15"/>
      <c r="O82" s="15"/>
    </row>
    <row r="83" spans="10:15" ht="13.5" customHeight="1" x14ac:dyDescent="0.2">
      <c r="J83" s="15"/>
      <c r="K83" s="15"/>
      <c r="L83" s="15"/>
      <c r="M83" s="15"/>
      <c r="N83" s="15"/>
      <c r="O83" s="15"/>
    </row>
    <row r="84" spans="10:15" ht="13.5" customHeight="1" x14ac:dyDescent="0.2">
      <c r="J84" s="15"/>
      <c r="K84" s="15"/>
      <c r="L84" s="15"/>
      <c r="M84" s="15"/>
      <c r="N84" s="15"/>
      <c r="O84" s="15"/>
    </row>
    <row r="85" spans="10:15" ht="13.5" customHeight="1" x14ac:dyDescent="0.2">
      <c r="J85" s="15"/>
      <c r="K85" s="15"/>
      <c r="L85" s="15"/>
      <c r="M85" s="15"/>
      <c r="N85" s="15"/>
      <c r="O85" s="15"/>
    </row>
    <row r="88" spans="10:15" ht="13.5" customHeight="1" x14ac:dyDescent="0.2">
      <c r="J88" s="15"/>
    </row>
  </sheetData>
  <mergeCells count="2">
    <mergeCell ref="A4:A5"/>
    <mergeCell ref="B4:E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2</vt:i4>
      </vt:variant>
    </vt:vector>
  </HeadingPairs>
  <TitlesOfParts>
    <vt:vector size="11" baseType="lpstr">
      <vt:lpstr>Obsah</vt:lpstr>
      <vt:lpstr>Meta</vt:lpstr>
      <vt:lpstr>T1</vt:lpstr>
      <vt:lpstr>T2</vt:lpstr>
      <vt:lpstr>T3</vt:lpstr>
      <vt:lpstr>G1</vt:lpstr>
      <vt:lpstr>G2</vt:lpstr>
      <vt:lpstr>G3</vt:lpstr>
      <vt:lpstr>G4</vt:lpstr>
      <vt:lpstr>'T2'!Oblast_tisku</vt:lpstr>
      <vt:lpstr>'T3'!Oblast_tisku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2021-01-29T11:12:26Z</dcterms:created>
  <dcterms:modified xsi:type="dcterms:W3CDTF">2022-12-20T11:13:24Z</dcterms:modified>
</cp:coreProperties>
</file>